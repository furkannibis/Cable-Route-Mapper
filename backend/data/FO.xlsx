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fibis\Desktop\"/>
    </mc:Choice>
  </mc:AlternateContent>
  <xr:revisionPtr revIDLastSave="0" documentId="13_ncr:1_{40A314CE-CD96-46A0-860C-C8209918E947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Özet" sheetId="10" r:id="rId1"/>
    <sheet name="FO MAKARALAR" sheetId="1" r:id="rId2"/>
    <sheet name="FO 24 HAT 1" sheetId="2" r:id="rId3"/>
    <sheet name="FO 24 HAT 2" sheetId="3" r:id="rId4"/>
    <sheet name="FO 288 HAT 1" sheetId="4" r:id="rId5"/>
    <sheet name="FO 288 HAT 2" sheetId="5" r:id="rId6"/>
    <sheet name="FO EK" sheetId="11" r:id="rId7"/>
    <sheet name="ENERJİ MAKARALAR" sheetId="6" r:id="rId8"/>
    <sheet name="Enerji Hat 1" sheetId="7" r:id="rId9"/>
    <sheet name="Enerji Hat 2" sheetId="8" r:id="rId10"/>
    <sheet name="EK ENERJİ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8" l="1"/>
  <c r="T19" i="8"/>
  <c r="S75" i="7"/>
  <c r="T75" i="7"/>
  <c r="S72" i="7"/>
  <c r="S73" i="7"/>
  <c r="S74" i="7"/>
  <c r="T72" i="7"/>
  <c r="T73" i="7"/>
  <c r="T74" i="7"/>
  <c r="S71" i="7"/>
  <c r="T71" i="7"/>
  <c r="S29" i="5"/>
  <c r="T29" i="5"/>
  <c r="U29" i="5"/>
  <c r="S28" i="4"/>
  <c r="T28" i="4"/>
  <c r="U28" i="4"/>
  <c r="S31" i="3"/>
  <c r="S32" i="3"/>
  <c r="T31" i="3"/>
  <c r="T32" i="3"/>
  <c r="U31" i="3"/>
  <c r="U32" i="3"/>
  <c r="S30" i="3"/>
  <c r="T30" i="3"/>
  <c r="U30" i="3"/>
  <c r="S74" i="2"/>
  <c r="T74" i="2"/>
  <c r="U74" i="2"/>
  <c r="S72" i="2"/>
  <c r="S73" i="2"/>
  <c r="T72" i="2"/>
  <c r="T73" i="2"/>
  <c r="U72" i="2"/>
  <c r="U73" i="2"/>
  <c r="S71" i="2"/>
  <c r="T71" i="2"/>
  <c r="U71" i="2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D7" i="10" l="1"/>
  <c r="G7" i="10"/>
  <c r="G6" i="10"/>
  <c r="D6" i="10"/>
  <c r="E7" i="10"/>
  <c r="F7" i="10" s="1"/>
  <c r="E6" i="10"/>
  <c r="F6" i="10" s="1"/>
  <c r="C7" i="10"/>
  <c r="C6" i="10"/>
  <c r="C5" i="10"/>
  <c r="G5" i="10" s="1"/>
  <c r="C4" i="10"/>
  <c r="G4" i="10" s="1"/>
  <c r="C3" i="10"/>
  <c r="E4" i="10"/>
  <c r="E5" i="10"/>
  <c r="I5" i="10" s="1"/>
  <c r="E2" i="10"/>
  <c r="I2" i="10" s="1"/>
  <c r="E3" i="10"/>
  <c r="I3" i="10" s="1"/>
  <c r="C2" i="10"/>
  <c r="G2" i="10" s="1"/>
  <c r="E113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4" i="6"/>
  <c r="E115" i="6"/>
  <c r="E116" i="6"/>
  <c r="E117" i="6"/>
  <c r="E118" i="6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H7" i="10" l="1"/>
  <c r="H6" i="10"/>
  <c r="I6" i="10"/>
  <c r="I7" i="10"/>
  <c r="A10" i="10"/>
  <c r="H5" i="10"/>
  <c r="I4" i="10"/>
  <c r="F5" i="10"/>
  <c r="F3" i="10"/>
  <c r="H3" i="10"/>
  <c r="G3" i="10"/>
  <c r="D4" i="10"/>
  <c r="F4" i="10"/>
  <c r="D2" i="10"/>
  <c r="F2" i="10"/>
  <c r="H4" i="10"/>
  <c r="H2" i="10"/>
  <c r="D5" i="10"/>
  <c r="D3" i="10"/>
</calcChain>
</file>

<file path=xl/sharedStrings.xml><?xml version="1.0" encoding="utf-8"?>
<sst xmlns="http://schemas.openxmlformats.org/spreadsheetml/2006/main" count="4121" uniqueCount="854">
  <si>
    <t>--</t>
  </si>
  <si>
    <t>88+025</t>
  </si>
  <si>
    <t>STB 11</t>
  </si>
  <si>
    <t>STB 08</t>
  </si>
  <si>
    <t>58+913</t>
  </si>
  <si>
    <t>STB 09</t>
  </si>
  <si>
    <t>68+808</t>
  </si>
  <si>
    <t>STB 10</t>
  </si>
  <si>
    <t>78+351</t>
  </si>
  <si>
    <t>TUR06250845-1</t>
  </si>
  <si>
    <t>TUR06250842-2</t>
  </si>
  <si>
    <t>TUR06250859-5</t>
  </si>
  <si>
    <t>TUR06250859-6</t>
  </si>
  <si>
    <t>TUR07250862-1</t>
  </si>
  <si>
    <t>TUR06250859-3</t>
  </si>
  <si>
    <t>TUR06250845-5</t>
  </si>
  <si>
    <t>TUR07250862-4</t>
  </si>
  <si>
    <t>TUR06250845-6</t>
  </si>
  <si>
    <t>TUR09250211-5</t>
  </si>
  <si>
    <t>TUR06250843-1</t>
  </si>
  <si>
    <t>TUR07250842-4</t>
  </si>
  <si>
    <t>TUR06250843-2</t>
  </si>
  <si>
    <t>60+444</t>
  </si>
  <si>
    <t>TUR06250842-1</t>
  </si>
  <si>
    <t>64+475</t>
  </si>
  <si>
    <t>TUR06250842-3</t>
  </si>
  <si>
    <t>68+536</t>
  </si>
  <si>
    <t>68+500</t>
  </si>
  <si>
    <t>71+434</t>
  </si>
  <si>
    <t>72+657</t>
  </si>
  <si>
    <t>73+140</t>
  </si>
  <si>
    <t>73+479</t>
  </si>
  <si>
    <t>73+660</t>
  </si>
  <si>
    <t>75+150</t>
  </si>
  <si>
    <t>76+525</t>
  </si>
  <si>
    <t>77+184</t>
  </si>
  <si>
    <t>78+076</t>
  </si>
  <si>
    <t>78+175</t>
  </si>
  <si>
    <t>79+085</t>
  </si>
  <si>
    <t>82+260</t>
  </si>
  <si>
    <t>82+825</t>
  </si>
  <si>
    <t>83+900</t>
  </si>
  <si>
    <t>86+455</t>
  </si>
  <si>
    <t>89+200</t>
  </si>
  <si>
    <t>89+955</t>
  </si>
  <si>
    <t>91+330</t>
  </si>
  <si>
    <t>Tarih</t>
  </si>
  <si>
    <t>Bina</t>
  </si>
  <si>
    <t>Kablo Etiketi</t>
  </si>
  <si>
    <t>Nereden</t>
  </si>
  <si>
    <t>Nereye</t>
  </si>
  <si>
    <t>Kablo Tipi</t>
  </si>
  <si>
    <t>Makara Numarası</t>
  </si>
  <si>
    <t>Makara Uzunluğu</t>
  </si>
  <si>
    <t>Makara Başlangıç</t>
  </si>
  <si>
    <t>Makara Bitiş</t>
  </si>
  <si>
    <t>Başlangıç Elemanı</t>
  </si>
  <si>
    <t>Başlangıç Km</t>
  </si>
  <si>
    <t>Bitiş Elemanı</t>
  </si>
  <si>
    <t>Bitiş Km</t>
  </si>
  <si>
    <t>Hat 1 / Hat 2</t>
  </si>
  <si>
    <t>Ek Km</t>
  </si>
  <si>
    <t>Makara Kalan Uzunluk</t>
  </si>
  <si>
    <t>Serim(m)</t>
  </si>
  <si>
    <t>FEC 0811 - FEC 0720</t>
  </si>
  <si>
    <t>FEC 0811 53+563</t>
  </si>
  <si>
    <t xml:space="preserve">FEC 0720 52+822 </t>
  </si>
  <si>
    <t>24 F/O</t>
  </si>
  <si>
    <t>FEC 0811</t>
  </si>
  <si>
    <t>53+563</t>
  </si>
  <si>
    <t>FEC 0720</t>
  </si>
  <si>
    <t>52+822</t>
  </si>
  <si>
    <t>FEC 08-09 - FEC 08-11</t>
  </si>
  <si>
    <t>FEC 08-09 54+313</t>
  </si>
  <si>
    <t>FEC 08-11 53+563</t>
  </si>
  <si>
    <t>TUR06250845-2</t>
  </si>
  <si>
    <t>FEC 08-09</t>
  </si>
  <si>
    <t>54+313</t>
  </si>
  <si>
    <t>FEC 08-11</t>
  </si>
  <si>
    <t xml:space="preserve">FEC 08-07 - FEC08-09 </t>
  </si>
  <si>
    <t>FEC0807 55+106</t>
  </si>
  <si>
    <t>FEC0809 54+313</t>
  </si>
  <si>
    <t xml:space="preserve">FEC 08-07 </t>
  </si>
  <si>
    <t>55+106</t>
  </si>
  <si>
    <t>FEC08-05 -FEC08-07</t>
  </si>
  <si>
    <t>FEC 08-07 56+284</t>
  </si>
  <si>
    <t>FEC 0805 55+106</t>
  </si>
  <si>
    <t>TUR06250845-3</t>
  </si>
  <si>
    <t>FEC 08-07</t>
  </si>
  <si>
    <t>56+284</t>
  </si>
  <si>
    <t>FEC 08-05</t>
  </si>
  <si>
    <t>FEC08-03 - FEC08-05</t>
  </si>
  <si>
    <t>FEC 08-03 57+073</t>
  </si>
  <si>
    <t>FEC 0805 56+284</t>
  </si>
  <si>
    <t>FEC 08-03</t>
  </si>
  <si>
    <t>57+073</t>
  </si>
  <si>
    <t xml:space="preserve">FEC08-01 CCTV - FEC08-03 </t>
  </si>
  <si>
    <t>FEC08-01 CCTV 57+698</t>
  </si>
  <si>
    <t>FEC08-03 57+073</t>
  </si>
  <si>
    <t>FEC08-01 CCTV</t>
  </si>
  <si>
    <t>57+698</t>
  </si>
  <si>
    <t>FEC 08-03 CCTV</t>
  </si>
  <si>
    <t>SATB08 - FEC08-01 CCTV</t>
  </si>
  <si>
    <t>SATB 08 58+913</t>
  </si>
  <si>
    <t>SATB 08</t>
  </si>
  <si>
    <t>FEC 08-01 CCTV</t>
  </si>
  <si>
    <t>FEC 0802 - SATB 08</t>
  </si>
  <si>
    <t>FEC 0802 59+519</t>
  </si>
  <si>
    <t>SATB 08 38+913</t>
  </si>
  <si>
    <t>FEC 0802</t>
  </si>
  <si>
    <t>59+519</t>
  </si>
  <si>
    <t xml:space="preserve">SATB 08 </t>
  </si>
  <si>
    <t>FEC 0804 - FEC 0802</t>
  </si>
  <si>
    <t>FEC 0804 60+136</t>
  </si>
  <si>
    <t>FEC 0804</t>
  </si>
  <si>
    <t>60+136</t>
  </si>
  <si>
    <t>TTB 09-GSMR B01</t>
  </si>
  <si>
    <t>TTB 09</t>
  </si>
  <si>
    <t>GSMR B01</t>
  </si>
  <si>
    <t>24 F/O (H)</t>
  </si>
  <si>
    <t>TUR07250862-3</t>
  </si>
  <si>
    <t>60+439</t>
  </si>
  <si>
    <t>60+474</t>
  </si>
  <si>
    <t>FEC 08-06 - FEC 08-04</t>
  </si>
  <si>
    <t>FEC 08-06</t>
  </si>
  <si>
    <t>FEC 08-04</t>
  </si>
  <si>
    <t>60+440</t>
  </si>
  <si>
    <t>GSMR B01 - FEC 0808</t>
  </si>
  <si>
    <t>GSMR B01 60+474</t>
  </si>
  <si>
    <t>FEC 0808 61+639</t>
  </si>
  <si>
    <t>FEC 0808</t>
  </si>
  <si>
    <t>61+630</t>
  </si>
  <si>
    <t>FEC 0808 - GSMR B02</t>
  </si>
  <si>
    <t>GSMR B02 62+539</t>
  </si>
  <si>
    <t>GSMR B02</t>
  </si>
  <si>
    <t>62+539</t>
  </si>
  <si>
    <t>GSMR B02 - FEC 0810</t>
  </si>
  <si>
    <t>FEC 0810 63+022</t>
  </si>
  <si>
    <t>EK</t>
  </si>
  <si>
    <t>FEC 0810</t>
  </si>
  <si>
    <t>63+022</t>
  </si>
  <si>
    <t>FEC 0810 - FEC 0911 BTS11RRHA</t>
  </si>
  <si>
    <t>FEC 0911 BTS11RRHA 64+539</t>
  </si>
  <si>
    <t>FEC 0911 BTS11RRHA</t>
  </si>
  <si>
    <t>GSMR A03 - FEC 0909</t>
  </si>
  <si>
    <t>GSMR A03 64+540</t>
  </si>
  <si>
    <t>FEC 0909 65+050</t>
  </si>
  <si>
    <t>GSMR A03</t>
  </si>
  <si>
    <t>64+540</t>
  </si>
  <si>
    <t>FEC 0909</t>
  </si>
  <si>
    <t>65+050</t>
  </si>
  <si>
    <t>FEC 0909 - TTB 11</t>
  </si>
  <si>
    <t>TTB 11 65+556</t>
  </si>
  <si>
    <t>TTB 11</t>
  </si>
  <si>
    <t>65+556</t>
  </si>
  <si>
    <t>TTB 11 - GSMR A02</t>
  </si>
  <si>
    <t>GSMR A02 66+539</t>
  </si>
  <si>
    <t xml:space="preserve">TTB 11 </t>
  </si>
  <si>
    <t>GSMR A02</t>
  </si>
  <si>
    <t>GSMR A01 - FEC 0905</t>
  </si>
  <si>
    <t>GSMR A01 68+472</t>
  </si>
  <si>
    <t>FEC 0905 67+668</t>
  </si>
  <si>
    <t>TUR07250862-2</t>
  </si>
  <si>
    <t>GSMR A01</t>
  </si>
  <si>
    <t>68+472</t>
  </si>
  <si>
    <t>FEC 0905</t>
  </si>
  <si>
    <t>67+668</t>
  </si>
  <si>
    <t>FEC 0905 - FEC 0907</t>
  </si>
  <si>
    <t>FEC 0907 66+910</t>
  </si>
  <si>
    <t>FEC 0907</t>
  </si>
  <si>
    <t>66+910</t>
  </si>
  <si>
    <t>FEC 0907 - GSMR A02</t>
  </si>
  <si>
    <t>GSMR A02 66+540</t>
  </si>
  <si>
    <t>66+540</t>
  </si>
  <si>
    <t>GSMR A01 - FEC 0903</t>
  </si>
  <si>
    <t xml:space="preserve"> FEC 0903 68+736</t>
  </si>
  <si>
    <t>FEC 0903</t>
  </si>
  <si>
    <t>68+736</t>
  </si>
  <si>
    <t>SATB 09-FEC 0902</t>
  </si>
  <si>
    <t>SATB 09</t>
  </si>
  <si>
    <t>FEC 0902</t>
  </si>
  <si>
    <t>68+830</t>
  </si>
  <si>
    <t>FEC 0902-FEC 0904</t>
  </si>
  <si>
    <t>FEC 0904</t>
  </si>
  <si>
    <t>69+150</t>
  </si>
  <si>
    <t>FEC 0904-FEC 0906</t>
  </si>
  <si>
    <t>FEC 0906</t>
  </si>
  <si>
    <t>69+480</t>
  </si>
  <si>
    <t>GSMR B01-FEC 0906</t>
  </si>
  <si>
    <t>69+754</t>
  </si>
  <si>
    <t>GSMR B01-FEC 0908</t>
  </si>
  <si>
    <t>FEC 0908</t>
  </si>
  <si>
    <t>70+085</t>
  </si>
  <si>
    <t>EK 71+390</t>
  </si>
  <si>
    <t>FEC08-06-TTB 09</t>
  </si>
  <si>
    <t>FEC 0806</t>
  </si>
  <si>
    <t>EK 70+401</t>
  </si>
  <si>
    <t>70+401</t>
  </si>
  <si>
    <t>EK-TTB 13</t>
  </si>
  <si>
    <t>TTB 13</t>
  </si>
  <si>
    <t>71+390</t>
  </si>
  <si>
    <t>72+730</t>
  </si>
  <si>
    <t>TTB 13-EK</t>
  </si>
  <si>
    <t>TUR06250859-2</t>
  </si>
  <si>
    <t>EK 72+730</t>
  </si>
  <si>
    <t>EK 76+480</t>
  </si>
  <si>
    <t>76+480</t>
  </si>
  <si>
    <t>EK-FEC10-09</t>
  </si>
  <si>
    <t>FEC10-09</t>
  </si>
  <si>
    <t>76+821</t>
  </si>
  <si>
    <t>FEC10-09-FEC10-07</t>
  </si>
  <si>
    <t>FEC10-07</t>
  </si>
  <si>
    <t>76+880</t>
  </si>
  <si>
    <t>FEC10-05-FEC10-07</t>
  </si>
  <si>
    <t>FEC10-05</t>
  </si>
  <si>
    <t>77+124</t>
  </si>
  <si>
    <t>TTB 14-FEC10-05</t>
  </si>
  <si>
    <t>TTB 14</t>
  </si>
  <si>
    <t>77+137</t>
  </si>
  <si>
    <t>ISITICI-SATB 10</t>
  </si>
  <si>
    <t>ISITICI 77+000</t>
  </si>
  <si>
    <t>SATB10 78+351</t>
  </si>
  <si>
    <t>EK 78+059</t>
  </si>
  <si>
    <t>78+059</t>
  </si>
  <si>
    <t>77+000</t>
  </si>
  <si>
    <t>SATB 10- TBB 14</t>
  </si>
  <si>
    <t>SATB10</t>
  </si>
  <si>
    <t>SATB 10</t>
  </si>
  <si>
    <t>FEC10-02-SATB10</t>
  </si>
  <si>
    <t>FEC10-02</t>
  </si>
  <si>
    <t>SATB 11</t>
  </si>
  <si>
    <t>78+432</t>
  </si>
  <si>
    <t>FEC10-06-FEC10-08</t>
  </si>
  <si>
    <t>FEC10-06</t>
  </si>
  <si>
    <t>FEC10-08</t>
  </si>
  <si>
    <t>79+600</t>
  </si>
  <si>
    <t>80+129</t>
  </si>
  <si>
    <t>ISITICI-</t>
  </si>
  <si>
    <t>ISITICI</t>
  </si>
  <si>
    <t>79+740</t>
  </si>
  <si>
    <t>79+325</t>
  </si>
  <si>
    <t>FEC10-08-FEC10-10</t>
  </si>
  <si>
    <t>FEC10-10</t>
  </si>
  <si>
    <t>TUR06250859-4</t>
  </si>
  <si>
    <t>81+330</t>
  </si>
  <si>
    <t>81+104</t>
  </si>
  <si>
    <t>FEC10-10-FEC10-16</t>
  </si>
  <si>
    <t>FEC10-16</t>
  </si>
  <si>
    <t>83+140</t>
  </si>
  <si>
    <t>FEC10-16-FEC11-09</t>
  </si>
  <si>
    <t>FEC11-09</t>
  </si>
  <si>
    <t>83+620</t>
  </si>
  <si>
    <t>FEC11-09-TTB15</t>
  </si>
  <si>
    <t>TTB15</t>
  </si>
  <si>
    <t>83+911</t>
  </si>
  <si>
    <t>TTB15-GSMRA01</t>
  </si>
  <si>
    <t>GSMRA01</t>
  </si>
  <si>
    <t>83+952</t>
  </si>
  <si>
    <t>GSMR A01-TTB 16</t>
  </si>
  <si>
    <t>TTB 16</t>
  </si>
  <si>
    <t>86+405</t>
  </si>
  <si>
    <t>86+448</t>
  </si>
  <si>
    <t>GSMR A02-FEC11-05</t>
  </si>
  <si>
    <t>FEC11-05</t>
  </si>
  <si>
    <t>86+847</t>
  </si>
  <si>
    <t>87+126</t>
  </si>
  <si>
    <t>SATB 11-GSMR B03</t>
  </si>
  <si>
    <t>SATB 11 80+025</t>
  </si>
  <si>
    <t>GSMR B03</t>
  </si>
  <si>
    <t>88+088</t>
  </si>
  <si>
    <t>GSMR A01-GSMR A01</t>
  </si>
  <si>
    <t>TTB 16-FEC11-07</t>
  </si>
  <si>
    <t>TBB 16</t>
  </si>
  <si>
    <t>FEC11-07</t>
  </si>
  <si>
    <t>86+649</t>
  </si>
  <si>
    <t>FEC11-07-FEC11-05</t>
  </si>
  <si>
    <t>GSMR A02-FEC11-03</t>
  </si>
  <si>
    <t>FEC11-03</t>
  </si>
  <si>
    <t>87+588</t>
  </si>
  <si>
    <t>FEC11-03-FEC11-01</t>
  </si>
  <si>
    <t>FEC11-01</t>
  </si>
  <si>
    <t>88+015</t>
  </si>
  <si>
    <t>FEC11-01-SATB 11</t>
  </si>
  <si>
    <t xml:space="preserve">FEC11-01 </t>
  </si>
  <si>
    <t>SATB 11 88+025</t>
  </si>
  <si>
    <t>GSMR B01-TTB 18</t>
  </si>
  <si>
    <t>TTB 18</t>
  </si>
  <si>
    <t>89+956</t>
  </si>
  <si>
    <t>89+921</t>
  </si>
  <si>
    <t>FEC11-06-FEC11-04</t>
  </si>
  <si>
    <t>FEC11-06</t>
  </si>
  <si>
    <t>FEC11-04</t>
  </si>
  <si>
    <t>89+848</t>
  </si>
  <si>
    <t>89+550</t>
  </si>
  <si>
    <t>STB 12</t>
  </si>
  <si>
    <t>FEC11-04-FEC11-02</t>
  </si>
  <si>
    <t>FEC11-02</t>
  </si>
  <si>
    <t>89+285</t>
  </si>
  <si>
    <t>FEC11-02-GSMR B02</t>
  </si>
  <si>
    <t>89+204</t>
  </si>
  <si>
    <t>GSMR B03-GSMR B02</t>
  </si>
  <si>
    <t>FEC12-15-FEC12-13</t>
  </si>
  <si>
    <t>FEC12-15</t>
  </si>
  <si>
    <t>FEC12-13</t>
  </si>
  <si>
    <t>TUR06250863-1</t>
  </si>
  <si>
    <t>91+700</t>
  </si>
  <si>
    <t>92+059</t>
  </si>
  <si>
    <t>FEC12-15-FEC12-11</t>
  </si>
  <si>
    <t>FEC12-11</t>
  </si>
  <si>
    <t>92+410</t>
  </si>
  <si>
    <t>FEC12-11-TTB 19</t>
  </si>
  <si>
    <t>TTB 19</t>
  </si>
  <si>
    <t>TTB19</t>
  </si>
  <si>
    <t>92+538</t>
  </si>
  <si>
    <t>TTB 19-GSMR A01</t>
  </si>
  <si>
    <t>92+589</t>
  </si>
  <si>
    <t>GSMR A01-FEC12-09</t>
  </si>
  <si>
    <t>FEC12-09</t>
  </si>
  <si>
    <t>TUR09250211-4</t>
  </si>
  <si>
    <t>93+286</t>
  </si>
  <si>
    <t>FEC11-06-TTB18</t>
  </si>
  <si>
    <t>TTB18</t>
  </si>
  <si>
    <t>FEC12-17-GSMRA02</t>
  </si>
  <si>
    <t>FEC12-17</t>
  </si>
  <si>
    <t>91+350</t>
  </si>
  <si>
    <t>GSMRA02</t>
  </si>
  <si>
    <t>91+267</t>
  </si>
  <si>
    <t>GSMR A02-GSMR B01</t>
  </si>
  <si>
    <t>GSMRB01</t>
  </si>
  <si>
    <t>FEC12-17-FEC12-15</t>
  </si>
  <si>
    <t xml:space="preserve">SATB 08 - POSTA BİNASI </t>
  </si>
  <si>
    <t>SATB 08 54+930</t>
  </si>
  <si>
    <t>POSTA BİNASI 52+467</t>
  </si>
  <si>
    <t>54+930</t>
  </si>
  <si>
    <t>EK 52+467</t>
  </si>
  <si>
    <t>52+467</t>
  </si>
  <si>
    <t>SATB08-SATB07</t>
  </si>
  <si>
    <t>SATB 07 47+757</t>
  </si>
  <si>
    <t xml:space="preserve">SATB 07 </t>
  </si>
  <si>
    <t>EK 54+945</t>
  </si>
  <si>
    <t>SATB 08 - GSMR B01</t>
  </si>
  <si>
    <t>EK 60+644</t>
  </si>
  <si>
    <t>60+644</t>
  </si>
  <si>
    <t>SATB 08 - SATB 09</t>
  </si>
  <si>
    <t>SATB 09 64+460</t>
  </si>
  <si>
    <t>EK 64+475</t>
  </si>
  <si>
    <t>EK 68+536</t>
  </si>
  <si>
    <t>SATB 09 68+808</t>
  </si>
  <si>
    <t>SATB 09 - GSMR B02</t>
  </si>
  <si>
    <t>SATB09 GSMR B02-SATB10 GSMR A03</t>
  </si>
  <si>
    <t>SATB09 GSMR B02</t>
  </si>
  <si>
    <t>SATB10 GSMR A03</t>
  </si>
  <si>
    <t>SATB09GSMR B02</t>
  </si>
  <si>
    <t>GSMR A03-FEC10-19</t>
  </si>
  <si>
    <t>FEC10-19</t>
  </si>
  <si>
    <t>FEC10-19-FEC10-17</t>
  </si>
  <si>
    <t>FEC10-17</t>
  </si>
  <si>
    <t>FEC10-17-FEC10-15</t>
  </si>
  <si>
    <t>FEC10-15</t>
  </si>
  <si>
    <t>FEC10-15-FEC10-13</t>
  </si>
  <si>
    <t>FEC10-13</t>
  </si>
  <si>
    <t>FEC10-13-GMSR A02</t>
  </si>
  <si>
    <t>GSMR A02-GSMR A01</t>
  </si>
  <si>
    <t>EK 76+525</t>
  </si>
  <si>
    <t>GSMR A01-FEC10-03</t>
  </si>
  <si>
    <t>FEC10-03</t>
  </si>
  <si>
    <t>FEC10-03-FEC10-01</t>
  </si>
  <si>
    <t>FEC10-01-SATB 10</t>
  </si>
  <si>
    <t>FEC10-01</t>
  </si>
  <si>
    <t>FEC10-02-FEC10-04</t>
  </si>
  <si>
    <t>FEC10-04</t>
  </si>
  <si>
    <t>79+355</t>
  </si>
  <si>
    <t>FEC10-04-FEC10-12</t>
  </si>
  <si>
    <t>FEC10-12</t>
  </si>
  <si>
    <t>FEC10-12-FEC10-14</t>
  </si>
  <si>
    <t>FEC10-14</t>
  </si>
  <si>
    <t>FEC10-14-EK</t>
  </si>
  <si>
    <t>FEC10-14-SATB 11</t>
  </si>
  <si>
    <t>SATB 11-TRAFO BİNASI</t>
  </si>
  <si>
    <t>TRAFO BİNASI</t>
  </si>
  <si>
    <t>SATB11</t>
  </si>
  <si>
    <t>92+330</t>
  </si>
  <si>
    <t>92+580</t>
  </si>
  <si>
    <t>92+560</t>
  </si>
  <si>
    <t>93+240</t>
  </si>
  <si>
    <t>SATB 08 - SATB 07</t>
  </si>
  <si>
    <t>SATB 08 54+991</t>
  </si>
  <si>
    <t>SATB 07 52+970</t>
  </si>
  <si>
    <t>288 F/O</t>
  </si>
  <si>
    <t>TUR06250856-4</t>
  </si>
  <si>
    <t>54+991</t>
  </si>
  <si>
    <t>EK 52+970</t>
  </si>
  <si>
    <t>52+970</t>
  </si>
  <si>
    <t>SATB 08-SATB 07</t>
  </si>
  <si>
    <t>TUR06250855-1</t>
  </si>
  <si>
    <t>56+990</t>
  </si>
  <si>
    <t>EK 56+990</t>
  </si>
  <si>
    <t>EK 54+991</t>
  </si>
  <si>
    <t>TUR06250856-2</t>
  </si>
  <si>
    <t>TUR06250858-2</t>
  </si>
  <si>
    <t>288 F/O (H)</t>
  </si>
  <si>
    <t>TUR06250860-2</t>
  </si>
  <si>
    <t>62+439</t>
  </si>
  <si>
    <t>TUR06250860-3</t>
  </si>
  <si>
    <t>EK 64+428</t>
  </si>
  <si>
    <t>64+428</t>
  </si>
  <si>
    <t>SATB 08 -SATB 09</t>
  </si>
  <si>
    <t>TUR06250861-4</t>
  </si>
  <si>
    <t>EK 66+467</t>
  </si>
  <si>
    <t>66+467</t>
  </si>
  <si>
    <t>TUR06250861-1</t>
  </si>
  <si>
    <t>EK 68+480</t>
  </si>
  <si>
    <t>68+480</t>
  </si>
  <si>
    <t>TUR08250898-4</t>
  </si>
  <si>
    <t>SATB 09 - SATB 10</t>
  </si>
  <si>
    <t>TUR08250899-4</t>
  </si>
  <si>
    <t>EK 70+650</t>
  </si>
  <si>
    <t>70+650</t>
  </si>
  <si>
    <t>SATB 09-SATB 10</t>
  </si>
  <si>
    <t>TUR08250897-4</t>
  </si>
  <si>
    <t>SATB 09 -SATB 10</t>
  </si>
  <si>
    <t>TUR08250894-1</t>
  </si>
  <si>
    <t>TUR08250897-3</t>
  </si>
  <si>
    <t>EK 74+709</t>
  </si>
  <si>
    <t>TUR08250897-1</t>
  </si>
  <si>
    <t>EK 74+746</t>
  </si>
  <si>
    <t>74+746</t>
  </si>
  <si>
    <t>TUR08250895-3</t>
  </si>
  <si>
    <t>SATB10-SATB11</t>
  </si>
  <si>
    <t>TUR06250854-4</t>
  </si>
  <si>
    <t>79+992</t>
  </si>
  <si>
    <t>78+068</t>
  </si>
  <si>
    <t>TUR06250854-1</t>
  </si>
  <si>
    <t>81+985</t>
  </si>
  <si>
    <t>EK 79+992</t>
  </si>
  <si>
    <t>TUR06250855-4</t>
  </si>
  <si>
    <t>EK 81+985</t>
  </si>
  <si>
    <t>SATB 10-SATB 11</t>
  </si>
  <si>
    <t>SATB 10 78+351</t>
  </si>
  <si>
    <t>SATB 11 80+026</t>
  </si>
  <si>
    <t>84+502</t>
  </si>
  <si>
    <t>TUR08250894-4</t>
  </si>
  <si>
    <t>86+446</t>
  </si>
  <si>
    <t>TUR06250858-1</t>
  </si>
  <si>
    <t>SATB 11-SATB 12</t>
  </si>
  <si>
    <t>SATB 12 94+859</t>
  </si>
  <si>
    <t>TUR09250258-1</t>
  </si>
  <si>
    <t>89+205</t>
  </si>
  <si>
    <t>TUR08250896-3</t>
  </si>
  <si>
    <t>89+950</t>
  </si>
  <si>
    <t>SATB12</t>
  </si>
  <si>
    <t>TUR09250256-3</t>
  </si>
  <si>
    <t>TUR08250898-1</t>
  </si>
  <si>
    <t>SATB 11-SAT B12</t>
  </si>
  <si>
    <t>SATB 08 54+990</t>
  </si>
  <si>
    <t>SATB 07 53+000</t>
  </si>
  <si>
    <t>TUR06250858-3</t>
  </si>
  <si>
    <t>54+990</t>
  </si>
  <si>
    <t>EK 53+000</t>
  </si>
  <si>
    <t>53+000</t>
  </si>
  <si>
    <t>SATB08 - SATB07</t>
  </si>
  <si>
    <t>SATB07 54+990</t>
  </si>
  <si>
    <t>TUR06250855-3</t>
  </si>
  <si>
    <t>Ek</t>
  </si>
  <si>
    <t>56+967</t>
  </si>
  <si>
    <t>Ek 54+990</t>
  </si>
  <si>
    <t>SATB 07 56+937</t>
  </si>
  <si>
    <t>TUR06250855-2</t>
  </si>
  <si>
    <t>Ek 56+967</t>
  </si>
  <si>
    <t>TUR06250858-4</t>
  </si>
  <si>
    <t>TUR06250860-1</t>
  </si>
  <si>
    <t>62+437</t>
  </si>
  <si>
    <t>TUR06250860-4</t>
  </si>
  <si>
    <t>EK 64+460</t>
  </si>
  <si>
    <t>64+460</t>
  </si>
  <si>
    <t>TUR06250861-2</t>
  </si>
  <si>
    <t>EK 65+470</t>
  </si>
  <si>
    <t>66+470</t>
  </si>
  <si>
    <t>TUR08250894-2</t>
  </si>
  <si>
    <t>EK 68+500</t>
  </si>
  <si>
    <t>TUR08250898-3</t>
  </si>
  <si>
    <t>EK 70+279</t>
  </si>
  <si>
    <t>70+279</t>
  </si>
  <si>
    <t>70+729</t>
  </si>
  <si>
    <t>TUR06250861-3</t>
  </si>
  <si>
    <t>TUR08250899-1</t>
  </si>
  <si>
    <t>74+520</t>
  </si>
  <si>
    <t>TUR08250898-2</t>
  </si>
  <si>
    <t>TUR08250895-2</t>
  </si>
  <si>
    <t>??????????????</t>
  </si>
  <si>
    <t>79+908</t>
  </si>
  <si>
    <t>78+968</t>
  </si>
  <si>
    <t>TUR06250856-1</t>
  </si>
  <si>
    <t>81+908</t>
  </si>
  <si>
    <t>EK 79+908</t>
  </si>
  <si>
    <t>TUR06250854-3</t>
  </si>
  <si>
    <t>EK 81+908</t>
  </si>
  <si>
    <t>84+511</t>
  </si>
  <si>
    <t>TUR08250894-3</t>
  </si>
  <si>
    <t>TUR06250856-3</t>
  </si>
  <si>
    <t>ST 12</t>
  </si>
  <si>
    <t>TUR08250895-1</t>
  </si>
  <si>
    <t>92+158</t>
  </si>
  <si>
    <t>92+240</t>
  </si>
  <si>
    <t>SATB 11 -SATB 12</t>
  </si>
  <si>
    <t>TUR09250258-2</t>
  </si>
  <si>
    <t xml:space="preserve">SATB11 </t>
  </si>
  <si>
    <t>TUR08250896-2</t>
  </si>
  <si>
    <t>KABLO CİNSİ</t>
  </si>
  <si>
    <t>CORE</t>
  </si>
  <si>
    <t>MAKARA NO</t>
  </si>
  <si>
    <t>UZUNLUK (mt)</t>
  </si>
  <si>
    <t>A-DF</t>
  </si>
  <si>
    <t>TUR06250854-2</t>
  </si>
  <si>
    <t>A-DQ</t>
  </si>
  <si>
    <t>TUR06250845-4</t>
  </si>
  <si>
    <t>TUR06250844-2</t>
  </si>
  <si>
    <t>TUR06250859-1</t>
  </si>
  <si>
    <t>TUR06250863-2</t>
  </si>
  <si>
    <t>TUR08250899-2</t>
  </si>
  <si>
    <t>TUR08250899-3</t>
  </si>
  <si>
    <t>TUR08250897-2</t>
  </si>
  <si>
    <t>TUR08250896-1</t>
  </si>
  <si>
    <t>TUR08250896-4</t>
  </si>
  <si>
    <t>TUR09250209-1</t>
  </si>
  <si>
    <t>TUR09250209-2</t>
  </si>
  <si>
    <t>TUR09250209-3</t>
  </si>
  <si>
    <t>TUR09250207-1</t>
  </si>
  <si>
    <t>TUR09250207-2</t>
  </si>
  <si>
    <t>TUR09250206-1</t>
  </si>
  <si>
    <t>TUR09250206-2</t>
  </si>
  <si>
    <t>TUR09250206-3</t>
  </si>
  <si>
    <t>TUR09250254-1</t>
  </si>
  <si>
    <t>TUR09250254-2</t>
  </si>
  <si>
    <t>TUR09250254-3</t>
  </si>
  <si>
    <t>TUR09250254-4</t>
  </si>
  <si>
    <t>TUR09250251-1</t>
  </si>
  <si>
    <t>TUR09250251-2</t>
  </si>
  <si>
    <t>TUR09250251-3</t>
  </si>
  <si>
    <t>TUR09250251-4</t>
  </si>
  <si>
    <t>TUR09250248-1</t>
  </si>
  <si>
    <t>TUR09250248-2</t>
  </si>
  <si>
    <t>TUR09250248-3</t>
  </si>
  <si>
    <t>TUR09250248-4</t>
  </si>
  <si>
    <t>TUR09250252-1</t>
  </si>
  <si>
    <t>TUR09250252-2</t>
  </si>
  <si>
    <t>TUR09250252-3</t>
  </si>
  <si>
    <t>TUR09250252-4</t>
  </si>
  <si>
    <t>TUR09250211-1</t>
  </si>
  <si>
    <t>TUR09250211-2</t>
  </si>
  <si>
    <t>TUR09250211-3</t>
  </si>
  <si>
    <t>TUR09250258-3</t>
  </si>
  <si>
    <t>TUR09250258-4</t>
  </si>
  <si>
    <t>TUR09250256-1</t>
  </si>
  <si>
    <t>TUR09250256-2</t>
  </si>
  <si>
    <t>TUR09250256-4</t>
  </si>
  <si>
    <t>TUR09250895-4</t>
  </si>
  <si>
    <t>TB</t>
  </si>
  <si>
    <t>SATB08-FEC 08-01</t>
  </si>
  <si>
    <t>2X6</t>
  </si>
  <si>
    <t>DWY120P I12323</t>
  </si>
  <si>
    <t>57+960</t>
  </si>
  <si>
    <t>DWY120P I10704</t>
  </si>
  <si>
    <t>FEC 08-01</t>
  </si>
  <si>
    <t>56+962</t>
  </si>
  <si>
    <t>O</t>
  </si>
  <si>
    <t>FEC08-03 - FEV08-05</t>
  </si>
  <si>
    <t>2x6</t>
  </si>
  <si>
    <t>DWY120P I10758</t>
  </si>
  <si>
    <t>FEC08-05 - FEC08-07</t>
  </si>
  <si>
    <t>56+093</t>
  </si>
  <si>
    <t>56+073</t>
  </si>
  <si>
    <t>DYY120P I10699</t>
  </si>
  <si>
    <t xml:space="preserve">FEC 08 07 - FEC08-09 </t>
  </si>
  <si>
    <t>DYY120P I12460</t>
  </si>
  <si>
    <t>DWY120P I107738</t>
  </si>
  <si>
    <t>FEC 0805 - FEC 0807</t>
  </si>
  <si>
    <t>56+255</t>
  </si>
  <si>
    <t>FEC 0806 - FEC 0804</t>
  </si>
  <si>
    <t>DYY120P H 61647</t>
  </si>
  <si>
    <t>DYY120P H61876</t>
  </si>
  <si>
    <t>TRFB 01 - FEC 0808</t>
  </si>
  <si>
    <t>DYY120P K8900</t>
  </si>
  <si>
    <t>TRFB 01</t>
  </si>
  <si>
    <t>61+483</t>
  </si>
  <si>
    <t>DYY120S K8894</t>
  </si>
  <si>
    <t>61+639</t>
  </si>
  <si>
    <t>FEC 0808 - FEC 0810</t>
  </si>
  <si>
    <t>62+475</t>
  </si>
  <si>
    <t>DYY120P H61897</t>
  </si>
  <si>
    <t>FEC 0909 - FEC 0911</t>
  </si>
  <si>
    <t>DYY120S K8870</t>
  </si>
  <si>
    <t>65+056</t>
  </si>
  <si>
    <t>FEC 0911</t>
  </si>
  <si>
    <t>FEC 0909 - GSMR A02</t>
  </si>
  <si>
    <t>65+440</t>
  </si>
  <si>
    <t xml:space="preserve">DYY120P H61627 </t>
  </si>
  <si>
    <t>66+443</t>
  </si>
  <si>
    <t>DYY120P I12400</t>
  </si>
  <si>
    <t>GSMR A02 - FEC 0907</t>
  </si>
  <si>
    <t>66+909</t>
  </si>
  <si>
    <t>FEC 0907 - FEC 0905</t>
  </si>
  <si>
    <t>FEC 0907 66+909</t>
  </si>
  <si>
    <t>67+387</t>
  </si>
  <si>
    <t>DYY120P H61611</t>
  </si>
  <si>
    <t xml:space="preserve">FEC 0907 </t>
  </si>
  <si>
    <t>FEC 0905 - GSMR A01</t>
  </si>
  <si>
    <t>68+371</t>
  </si>
  <si>
    <t>FEC 0903 - GSMR A01</t>
  </si>
  <si>
    <t>FEC 0903 68+736</t>
  </si>
  <si>
    <t>DWY120P I10767</t>
  </si>
  <si>
    <t>FEC 0903 - SATB 09</t>
  </si>
  <si>
    <t>DYY120P I10738</t>
  </si>
  <si>
    <t>DYY120P H61647</t>
  </si>
  <si>
    <t>68+915</t>
  </si>
  <si>
    <t>DYY120P H61874</t>
  </si>
  <si>
    <t>FEC 0906-GSMR B01</t>
  </si>
  <si>
    <t>FC 0906</t>
  </si>
  <si>
    <t>DYY120P H61855</t>
  </si>
  <si>
    <t>FEC 0908-GSMR B02</t>
  </si>
  <si>
    <t>DYY120P H61641</t>
  </si>
  <si>
    <t>72+410</t>
  </si>
  <si>
    <t>GSMR A02-FEC10-19</t>
  </si>
  <si>
    <t>DWY120P I10799</t>
  </si>
  <si>
    <t>74+106</t>
  </si>
  <si>
    <t>DWY120P I10776</t>
  </si>
  <si>
    <t>75+105</t>
  </si>
  <si>
    <t>FEC08-06-GSMR B01</t>
  </si>
  <si>
    <t>DYY120P I10689</t>
  </si>
  <si>
    <t>76+140</t>
  </si>
  <si>
    <t>DWY120P I10716</t>
  </si>
  <si>
    <t>FEC10-07-FEC10-05</t>
  </si>
  <si>
    <t>FEC10-03-GSMR A03</t>
  </si>
  <si>
    <t>77+273</t>
  </si>
  <si>
    <t>GSMR A01- FEC10-03</t>
  </si>
  <si>
    <t>DY120P H61838</t>
  </si>
  <si>
    <t>DWY120P I10779</t>
  </si>
  <si>
    <t>80+090</t>
  </si>
  <si>
    <t>DWY120P I10717</t>
  </si>
  <si>
    <t>80+094</t>
  </si>
  <si>
    <t>DWY120P I10711</t>
  </si>
  <si>
    <t>FEC10-10-FEC10-12</t>
  </si>
  <si>
    <t>DYY120P I15472</t>
  </si>
  <si>
    <t>81+518</t>
  </si>
  <si>
    <t>FEC10-14-FEC10-16</t>
  </si>
  <si>
    <t>DWY120P I10705</t>
  </si>
  <si>
    <t>83+039</t>
  </si>
  <si>
    <t>FEC11-09-GSMRA01</t>
  </si>
  <si>
    <t>FEC10-02-SATB 10</t>
  </si>
  <si>
    <t>DYY120P H61838</t>
  </si>
  <si>
    <t>84+137</t>
  </si>
  <si>
    <t>DWY120P T17143</t>
  </si>
  <si>
    <t>85+141</t>
  </si>
  <si>
    <t>DWY120P T17116</t>
  </si>
  <si>
    <t>86+232</t>
  </si>
  <si>
    <t>FEC11-07-GSMR A01</t>
  </si>
  <si>
    <t>DWY120P I10714</t>
  </si>
  <si>
    <t>GSMRA02-FEC11-03</t>
  </si>
  <si>
    <t>87+143</t>
  </si>
  <si>
    <t>87+666</t>
  </si>
  <si>
    <t>SATB 11 88+025-FEC11-01</t>
  </si>
  <si>
    <t>DWY120P T17142</t>
  </si>
  <si>
    <t>84+847</t>
  </si>
  <si>
    <t>FEC11-FEC11-01</t>
  </si>
  <si>
    <t>DWY120P I10783</t>
  </si>
  <si>
    <t>DWY120P I10761</t>
  </si>
  <si>
    <t>88+045</t>
  </si>
  <si>
    <t>GSMRB03-GSMR B02</t>
  </si>
  <si>
    <t>GSMRB03</t>
  </si>
  <si>
    <t>88+988</t>
  </si>
  <si>
    <t>DWY120P I17142</t>
  </si>
  <si>
    <t>DWY120P I10728</t>
  </si>
  <si>
    <t>93+285</t>
  </si>
  <si>
    <t>FEC12-13-FEC12-11</t>
  </si>
  <si>
    <t>92+304</t>
  </si>
  <si>
    <t>GSMR B01-FEC11-06</t>
  </si>
  <si>
    <t>89+948</t>
  </si>
  <si>
    <t>GSMR B02-FEC11-02</t>
  </si>
  <si>
    <t>GSMRB02</t>
  </si>
  <si>
    <t>FEC11-2-FEC11-04</t>
  </si>
  <si>
    <t>FEC11-2</t>
  </si>
  <si>
    <t>FEC11-04-FEC11-06</t>
  </si>
  <si>
    <t>DYY120P B16210</t>
  </si>
  <si>
    <t>FEC 08-01 57+698</t>
  </si>
  <si>
    <t>FEC08-01 FEC08-03</t>
  </si>
  <si>
    <t>FEC 08-07 56+093</t>
  </si>
  <si>
    <t>FEC 0807 56+093</t>
  </si>
  <si>
    <t xml:space="preserve">FEC 0807 </t>
  </si>
  <si>
    <t>EK 57+960</t>
  </si>
  <si>
    <t>EK 65+440</t>
  </si>
  <si>
    <t>EK 66+443</t>
  </si>
  <si>
    <t>EK 67+387</t>
  </si>
  <si>
    <t>EK 68+917</t>
  </si>
  <si>
    <t>EK 70+350</t>
  </si>
  <si>
    <t>EK 72+410</t>
  </si>
  <si>
    <t>EK 74+106</t>
  </si>
  <si>
    <t>EK 75+105</t>
  </si>
  <si>
    <t>EK 76+140</t>
  </si>
  <si>
    <t>EK 77+273</t>
  </si>
  <si>
    <t>FEC 08-05 56+0</t>
  </si>
  <si>
    <t>FEC 08-07 55+106</t>
  </si>
  <si>
    <t>FEC 0806 60+440</t>
  </si>
  <si>
    <t>TRFB 01 60+440</t>
  </si>
  <si>
    <t>FEC 0911 64+460</t>
  </si>
  <si>
    <t xml:space="preserve">FEC 0907 66+910 </t>
  </si>
  <si>
    <t>FEC 08-05 56+284</t>
  </si>
  <si>
    <t>Ek 56+093</t>
  </si>
  <si>
    <t>FEC 0805 56+255</t>
  </si>
  <si>
    <t>2X6 (H)</t>
  </si>
  <si>
    <t>DYY120P K8831</t>
  </si>
  <si>
    <t>DYY120P B16138</t>
  </si>
  <si>
    <t>DYY120P B16139</t>
  </si>
  <si>
    <t>DYY120P B16142</t>
  </si>
  <si>
    <t>DYY120P B16143</t>
  </si>
  <si>
    <t>DYY120P B16147</t>
  </si>
  <si>
    <t>DYY120P K40166</t>
  </si>
  <si>
    <t>DYY120P K40191</t>
  </si>
  <si>
    <t>DYY120P K40194</t>
  </si>
  <si>
    <t>DYY120P K40195</t>
  </si>
  <si>
    <t>DYY120P K40197</t>
  </si>
  <si>
    <t>DYY120P K40198</t>
  </si>
  <si>
    <t>DYY120P K40204</t>
  </si>
  <si>
    <t>DYY120P H60786</t>
  </si>
  <si>
    <t>DYY120P H61619</t>
  </si>
  <si>
    <t>DYY120P K40143</t>
  </si>
  <si>
    <t>DYY120P K40152</t>
  </si>
  <si>
    <t>DYY120P H61661</t>
  </si>
  <si>
    <t>DYY120P H61673</t>
  </si>
  <si>
    <t>DYY120P H61677</t>
  </si>
  <si>
    <t>DYY120P H61828</t>
  </si>
  <si>
    <t>DYY120P H61837</t>
  </si>
  <si>
    <t>DYY120P H61871</t>
  </si>
  <si>
    <t>DYY120P H61888</t>
  </si>
  <si>
    <t>DYY120P H61868</t>
  </si>
  <si>
    <t>DYY120P H61614</t>
  </si>
  <si>
    <t>DYY120P H61627</t>
  </si>
  <si>
    <t>DYY120P H61635</t>
  </si>
  <si>
    <t>DYY120P H61670</t>
  </si>
  <si>
    <t>DYY120P H61770</t>
  </si>
  <si>
    <t>DYY120P H61882</t>
  </si>
  <si>
    <t>DYY120S K8882</t>
  </si>
  <si>
    <t>DYY120S K8884</t>
  </si>
  <si>
    <t>DYY120S K8890</t>
  </si>
  <si>
    <t>DYY120S K8892</t>
  </si>
  <si>
    <t>DYY120S K8893</t>
  </si>
  <si>
    <t>DYY120S K8905</t>
  </si>
  <si>
    <t>DYY120P H61631</t>
  </si>
  <si>
    <t>DYY120P B16130</t>
  </si>
  <si>
    <t>DYY120P H61558</t>
  </si>
  <si>
    <t>DYY120P H61572</t>
  </si>
  <si>
    <t>DYY120P H61600</t>
  </si>
  <si>
    <t>DYY120P H61663</t>
  </si>
  <si>
    <t>DYY120P H61666</t>
  </si>
  <si>
    <t>DYY120P H61667</t>
  </si>
  <si>
    <t>DYY120P H61679</t>
  </si>
  <si>
    <t>DYY120P H61723</t>
  </si>
  <si>
    <t>DYY120P H61815</t>
  </si>
  <si>
    <t>DYY120P H61839</t>
  </si>
  <si>
    <t>DYY120P H61847</t>
  </si>
  <si>
    <t>DYY120P H61899</t>
  </si>
  <si>
    <t>DYY120P H61802</t>
  </si>
  <si>
    <t>DYY120P H61762</t>
  </si>
  <si>
    <t>DYY120P H62006</t>
  </si>
  <si>
    <t>DYY120P H61995</t>
  </si>
  <si>
    <t>DYY120P H62015</t>
  </si>
  <si>
    <t>DYY120P H61632</t>
  </si>
  <si>
    <t>DYY120P I10499</t>
  </si>
  <si>
    <t>DYY120P I10536</t>
  </si>
  <si>
    <t>DYY120P I10578</t>
  </si>
  <si>
    <t>DYY120P I10586</t>
  </si>
  <si>
    <t>DWY120P I10755</t>
  </si>
  <si>
    <t>DWY120P I10774</t>
  </si>
  <si>
    <t>DWY120P I10797</t>
  </si>
  <si>
    <t>DWY120P I10798</t>
  </si>
  <si>
    <t>DYY120P I10688</t>
  </si>
  <si>
    <t>DWY120P I10706</t>
  </si>
  <si>
    <t>DWY120P I10738</t>
  </si>
  <si>
    <t>DWY120P I10748</t>
  </si>
  <si>
    <t>DWY120P I10751</t>
  </si>
  <si>
    <t>DYY120P İ10521</t>
  </si>
  <si>
    <t>DYY120P İ10560</t>
  </si>
  <si>
    <t>DWY120P I10712</t>
  </si>
  <si>
    <t>DWY120P I10726</t>
  </si>
  <si>
    <t>DWY120P I10741</t>
  </si>
  <si>
    <t>DWY120P I10762</t>
  </si>
  <si>
    <t>DYY120P I15473</t>
  </si>
  <si>
    <t>DYY120P I15458</t>
  </si>
  <si>
    <t>DYY120P I15461</t>
  </si>
  <si>
    <t>DYY120P I16594</t>
  </si>
  <si>
    <t>DWY120P T17116.</t>
  </si>
  <si>
    <t>DWY120P I10735</t>
  </si>
  <si>
    <t>DWY120P T17140</t>
  </si>
  <si>
    <t>DWY120P T17141</t>
  </si>
  <si>
    <t>Kablo</t>
  </si>
  <si>
    <t>RE4ONE 2x6 0,6/1 kV</t>
  </si>
  <si>
    <t>RE4ONM1 2x6 0,6/1 kV SY/Y¿</t>
  </si>
  <si>
    <t>Kablo Cinsi</t>
  </si>
  <si>
    <t>PE</t>
  </si>
  <si>
    <t>LSZH</t>
  </si>
  <si>
    <t>KALAN</t>
  </si>
  <si>
    <t>Kalan</t>
  </si>
  <si>
    <t>KABLO TİPİ</t>
  </si>
  <si>
    <t>TALEP EDİLEN (mt)</t>
  </si>
  <si>
    <t>GELEN METRAJ (mt)</t>
  </si>
  <si>
    <t>KALAN SİPARİŞ (mt)</t>
  </si>
  <si>
    <t>SERİM MİKTARI (mt)</t>
  </si>
  <si>
    <t>ELDE KALAN (mt)</t>
  </si>
  <si>
    <t>TALEP EDİLEN/GELEN ORANI</t>
  </si>
  <si>
    <t>GELEN/SERİM ORANI</t>
  </si>
  <si>
    <t>TALEP EDİLEN/SERİM ORANI</t>
  </si>
  <si>
    <t>FO 288 CORE LSZH</t>
  </si>
  <si>
    <t>FO 288 CORE PE</t>
  </si>
  <si>
    <t>FO 24 CORE LSZH</t>
  </si>
  <si>
    <t>FO 24 CORE PE</t>
  </si>
  <si>
    <t>ENERJİ LSZH</t>
  </si>
  <si>
    <t>ENERJİ PE</t>
  </si>
  <si>
    <t>GENEL</t>
  </si>
  <si>
    <t>Metraj Hatası</t>
  </si>
  <si>
    <t>Core Hatası</t>
  </si>
  <si>
    <t>Kılıf Hatası</t>
  </si>
  <si>
    <t>Hat</t>
  </si>
  <si>
    <t>Core</t>
  </si>
  <si>
    <t>Ek KM</t>
  </si>
  <si>
    <t>Azalan Makara</t>
  </si>
  <si>
    <t>Artan Makara</t>
  </si>
  <si>
    <t>68+917</t>
  </si>
  <si>
    <t>70+350</t>
  </si>
  <si>
    <t>???????????????</t>
  </si>
  <si>
    <t>FEC12-09-FEC12-07</t>
  </si>
  <si>
    <t>FEC12-07</t>
  </si>
  <si>
    <t>93+950</t>
  </si>
  <si>
    <t>FEC12-05-FEC12-07</t>
  </si>
  <si>
    <t>FEC12-05</t>
  </si>
  <si>
    <t>94+420</t>
  </si>
  <si>
    <t>TRAFO BİNASI-FEC12-03</t>
  </si>
  <si>
    <t>FEC12-03</t>
  </si>
  <si>
    <t>94+157</t>
  </si>
  <si>
    <t>94+564</t>
  </si>
  <si>
    <t>FEC12-05-SATB12</t>
  </si>
  <si>
    <t>94+859</t>
  </si>
  <si>
    <t>SATB12-TRAFO BİNASI</t>
  </si>
  <si>
    <t>SATB 12</t>
  </si>
  <si>
    <t>FEC12-03-FEC12-01</t>
  </si>
  <si>
    <t>FEC12-01</t>
  </si>
  <si>
    <t>94+665</t>
  </si>
  <si>
    <t>FEC12-01-SATB12</t>
  </si>
  <si>
    <t>SATB 12-SATB 12</t>
  </si>
  <si>
    <t>93+210</t>
  </si>
  <si>
    <t>FEC12-11-GSMR A01</t>
  </si>
  <si>
    <t>FEC12-09-FEC1207</t>
  </si>
  <si>
    <t>FEC1207</t>
  </si>
  <si>
    <t>94+097</t>
  </si>
  <si>
    <t>FEC120-05-FEC12-07</t>
  </si>
  <si>
    <t>FEC120-05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</si>
</sst>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\+00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 Tur"/>
      <charset val="162"/>
    </font>
    <font>
      <b/>
      <sz val="10"/>
      <name val="Arial"/>
      <family val="2"/>
      <charset val="162"/>
    </font>
    <font>
      <sz val="8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6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" fillId="5" borderId="6" xfId="4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12" fontId="9" fillId="3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14" fontId="8" fillId="3" borderId="9" xfId="5" applyNumberFormat="1" applyFont="1" applyFill="1" applyBorder="1" applyAlignment="1">
      <alignment horizontal="center" vertical="center"/>
    </xf>
    <xf numFmtId="14" fontId="8" fillId="3" borderId="9" xfId="0" applyNumberFormat="1" applyFont="1" applyFill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3" borderId="9" xfId="3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2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49" fontId="5" fillId="3" borderId="3" xfId="3" applyNumberFormat="1" applyFont="1" applyFill="1" applyBorder="1" applyAlignment="1">
      <alignment horizontal="center" vertical="center" wrapText="1"/>
    </xf>
    <xf numFmtId="14" fontId="4" fillId="3" borderId="3" xfId="3" applyNumberFormat="1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1" fontId="5" fillId="3" borderId="3" xfId="3" applyNumberFormat="1" applyFont="1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3" xfId="0" applyBorder="1"/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 wrapText="1"/>
    </xf>
    <xf numFmtId="14" fontId="8" fillId="3" borderId="12" xfId="5" applyNumberFormat="1" applyFont="1" applyFill="1" applyBorder="1" applyAlignment="1">
      <alignment horizontal="center" vertical="center"/>
    </xf>
    <xf numFmtId="14" fontId="8" fillId="3" borderId="12" xfId="0" applyNumberFormat="1" applyFont="1" applyFill="1" applyBorder="1" applyAlignment="1">
      <alignment horizontal="center" vertical="center"/>
    </xf>
    <xf numFmtId="14" fontId="8" fillId="3" borderId="12" xfId="3" applyNumberFormat="1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 vertical="center" wrapText="1"/>
    </xf>
    <xf numFmtId="0" fontId="8" fillId="3" borderId="4" xfId="3" applyFont="1" applyFill="1" applyBorder="1" applyAlignment="1">
      <alignment horizontal="center" vertical="center" wrapText="1"/>
    </xf>
    <xf numFmtId="0" fontId="9" fillId="3" borderId="13" xfId="3" applyFont="1" applyFill="1" applyBorder="1" applyAlignment="1">
      <alignment horizontal="center" vertical="center" wrapText="1"/>
    </xf>
    <xf numFmtId="14" fontId="3" fillId="2" borderId="10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14" fontId="3" fillId="2" borderId="1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5" borderId="0" xfId="4" applyFont="1" applyFill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0" fontId="8" fillId="3" borderId="3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4" xfId="5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7" fillId="5" borderId="3" xfId="4" applyFont="1" applyFill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4" fontId="4" fillId="0" borderId="3" xfId="3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3" xfId="3" applyNumberFormat="1" applyFont="1" applyBorder="1" applyAlignment="1">
      <alignment horizontal="center" vertical="center" wrapText="1"/>
    </xf>
    <xf numFmtId="1" fontId="5" fillId="0" borderId="3" xfId="3" applyNumberFormat="1" applyFont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164" fontId="4" fillId="4" borderId="3" xfId="2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1" fontId="4" fillId="4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Border="1"/>
    <xf numFmtId="14" fontId="5" fillId="0" borderId="4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Border="1"/>
    <xf numFmtId="0" fontId="8" fillId="3" borderId="3" xfId="0" applyFont="1" applyFill="1" applyBorder="1" applyAlignment="1">
      <alignment horizontal="center" vertical="center"/>
    </xf>
    <xf numFmtId="0" fontId="8" fillId="3" borderId="3" xfId="5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5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NumberFormat="1" applyBorder="1" applyAlignment="1">
      <alignment horizontal="center"/>
    </xf>
  </cellXfs>
  <cellStyles count="10">
    <cellStyle name="Comma 2" xfId="7" xr:uid="{2C5D2895-1070-42F6-B676-6BF2C7704EAC}"/>
    <cellStyle name="Normal" xfId="0" builtinId="0"/>
    <cellStyle name="Normal 2" xfId="4" xr:uid="{48279602-73CA-43E3-9ABB-73F1AB96921A}"/>
    <cellStyle name="Normal 2 2" xfId="8" xr:uid="{0FB20AA3-54EB-4E38-B467-0309A2F744E1}"/>
    <cellStyle name="Normal 2 3" xfId="2" xr:uid="{D7BE113D-6D3F-4A0E-B507-49D3440F42E1}"/>
    <cellStyle name="Normal 3" xfId="3" xr:uid="{E1001A42-5334-4257-AACC-FDCC7922D757}"/>
    <cellStyle name="Normal 4" xfId="5" xr:uid="{06B012F2-50F4-45FA-909E-ADA3E9C43887}"/>
    <cellStyle name="Normal 5" xfId="6" xr:uid="{CC8CF1D2-DD6F-4F8C-8145-C8D79717B25D}"/>
    <cellStyle name="Virgül 2" xfId="9" xr:uid="{7B74688C-3D84-4D2B-8735-C98DA9F423B3}"/>
    <cellStyle name="Yüzde" xfId="1" builtinId="5"/>
  </cellStyles>
  <dxfs count="18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top style="thin">
          <color theme="1"/>
        </top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2BABD-59DC-4C1D-A1FC-2C66339483D0}" name="fo_makara" displayName="fo_makara" ref="A1:E111" totalsRowShown="0" headerRowDxfId="179" dataDxfId="177" headerRowBorderDxfId="178" tableBorderDxfId="176" headerRowCellStyle="Normal 2">
  <autoFilter ref="A1:E111" xr:uid="{6282BABD-59DC-4C1D-A1FC-2C66339483D0}"/>
  <tableColumns count="5">
    <tableColumn id="1" xr3:uid="{4D26915C-FAEB-4F83-99D0-95E1A030F55E}" name="KABLO CİNSİ" dataDxfId="175"/>
    <tableColumn id="2" xr3:uid="{050529B3-5EEE-4F62-AE0D-6339F339E0F2}" name="CORE" dataDxfId="174"/>
    <tableColumn id="3" xr3:uid="{F440CD36-8705-471C-863E-689C478876DD}" name="MAKARA NO" dataDxfId="173"/>
    <tableColumn id="4" xr3:uid="{E699CE0A-D439-4BF3-AEFE-92899DA773D7}" name="UZUNLUK (mt)" dataDxfId="172"/>
    <tableColumn id="5" xr3:uid="{A5B290F4-EED4-4077-BB05-48F730EC9EFB}" name="KALAN" dataDxfId="171">
      <calculatedColumnFormula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79791C-55A2-4699-9D1B-184948706C23}" name="fo_124" displayName="fo_124" ref="A1:U74" totalsRowShown="0" headerRowDxfId="170" headerRowBorderDxfId="169" tableBorderDxfId="168" totalsRowBorderDxfId="167">
  <autoFilter ref="A1:U74" xr:uid="{8579791C-55A2-4699-9D1B-184948706C23}"/>
  <tableColumns count="21">
    <tableColumn id="1" xr3:uid="{15B969EF-9B60-4202-A911-E8DBD15046CC}" name="Tarih" dataDxfId="166"/>
    <tableColumn id="2" xr3:uid="{ED018A6B-B0D9-43F9-B236-9565298B020D}" name="Bina" dataDxfId="165"/>
    <tableColumn id="3" xr3:uid="{D69F0256-CD43-4BB1-A620-B0820D385B20}" name="Kablo Etiketi" dataDxfId="164"/>
    <tableColumn id="4" xr3:uid="{846A09BD-52B2-4573-8E35-9DCB456CBFE1}" name="Nereden" dataDxfId="163"/>
    <tableColumn id="5" xr3:uid="{BF6C19A9-AB53-4A8A-9893-9265A6C79CFF}" name="Nereye" dataDxfId="162"/>
    <tableColumn id="6" xr3:uid="{FB81FE90-D095-4F8C-8076-DF0FD18E142C}" name="Kablo Tipi" dataDxfId="161"/>
    <tableColumn id="7" xr3:uid="{EA2ADCB6-1A80-4CFD-887B-756611B6945B}" name="Makara Numarası" dataDxfId="160"/>
    <tableColumn id="8" xr3:uid="{B896EF1F-1A58-4330-BA67-84445C608680}" name="Makara Uzunluğu" dataDxfId="159"/>
    <tableColumn id="9" xr3:uid="{203A10B0-D2E0-4462-BBC8-2DED4E02A41E}" name="Makara Başlangıç" dataDxfId="158"/>
    <tableColumn id="10" xr3:uid="{468ABD13-DEEC-42D2-ACCA-C9F6496BC121}" name="Makara Bitiş" dataDxfId="157"/>
    <tableColumn id="11" xr3:uid="{74198EE3-39FF-4F5C-952F-843665A953C8}" name="Başlangıç Elemanı" dataDxfId="156"/>
    <tableColumn id="12" xr3:uid="{026FD39B-A501-4A68-9860-55A967D84AC4}" name="Başlangıç Km" dataDxfId="155"/>
    <tableColumn id="13" xr3:uid="{7EBC57D5-EDBA-4916-93A6-C7DC49E5E346}" name="Bitiş Elemanı" dataDxfId="154"/>
    <tableColumn id="14" xr3:uid="{238CC465-1208-41D9-8133-49003A8F9D2B}" name="Bitiş Km" dataDxfId="153"/>
    <tableColumn id="15" xr3:uid="{1035ABC1-E6C8-49D7-B4BC-7BC13DA81EFA}" name="Hat 1 / Hat 2" dataDxfId="152" dataCellStyle="Normal 3"/>
    <tableColumn id="16" xr3:uid="{CA98D271-B43D-4FA5-85E5-67AF88D8178B}" name="Ek Km" dataDxfId="151"/>
    <tableColumn id="17" xr3:uid="{B4413FBF-A902-477F-B4D8-9AD00307BE43}" name="Makara Kalan Uzunluk" dataDxfId="150"/>
    <tableColumn id="18" xr3:uid="{66FBAB68-28CD-4FDE-8911-D514CDE287C4}" name="Serim(m)" dataDxfId="149"/>
    <tableColumn id="19" xr3:uid="{0693C37D-745D-4193-8F1F-E8E9ED9D9C3F}" name="Metraj Hatası" dataDxfId="148">
      <calculatedColumnFormula>IF(SUMPRODUCT((fo_makara[[#Headers],[MAKARA NO]]=fo_124[[#This Row],[Makara Numarası]])*(fo_makara[[#Headers],[KALAN]]&lt;0))&gt;0,
    "HATA VAR",
    "")</calculatedColumnFormula>
    </tableColumn>
    <tableColumn id="20" xr3:uid="{BB4CC295-AC06-4B36-9779-4901CDCC44CD}" name="Core Hatası" dataDxfId="147">
      <calculatedColumnFormula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calculatedColumnFormula>
    </tableColumn>
    <tableColumn id="21" xr3:uid="{0C50DF72-8B1F-4215-82EE-64230C37BB0F}" name="Kılıf Hatası" dataDxfId="146">
      <calculatedColumnFormula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AE08D8-4A79-45DD-940E-9610B95998FB}" name="fo_224" displayName="fo_224" ref="A1:U32" totalsRowShown="0" headerRowDxfId="145" tableBorderDxfId="144">
  <autoFilter ref="A1:U32" xr:uid="{6DAE08D8-4A79-45DD-940E-9610B95998FB}"/>
  <tableColumns count="21">
    <tableColumn id="1" xr3:uid="{0A8FCD49-C945-434C-9424-E7F05FBA6EE9}" name="Tarih" dataDxfId="143"/>
    <tableColumn id="2" xr3:uid="{994D06A5-A5A4-4EA1-8F64-F086B5A805E3}" name="Bina" dataDxfId="142"/>
    <tableColumn id="3" xr3:uid="{BD6178BF-D873-4955-BD2B-D09125A190A6}" name="Kablo Etiketi" dataDxfId="141"/>
    <tableColumn id="4" xr3:uid="{0D132EE8-E1E7-4A0F-8EA0-C4D72BAD40A9}" name="Nereden" dataDxfId="140"/>
    <tableColumn id="5" xr3:uid="{708E3ACC-1A68-495D-AA0A-7581BFDBDABF}" name="Nereye" dataDxfId="139"/>
    <tableColumn id="6" xr3:uid="{D118CCB3-E330-490F-8794-909EEBB42A75}" name="Kablo Tipi" dataDxfId="138"/>
    <tableColumn id="7" xr3:uid="{CA970B24-25D1-4960-BD3B-1252211E4DD8}" name="Makara Numarası" dataDxfId="137"/>
    <tableColumn id="8" xr3:uid="{5A2A6261-F63B-4E34-8840-CACD1A184FCF}" name="Makara Uzunluğu" dataDxfId="136"/>
    <tableColumn id="9" xr3:uid="{33384F95-BD86-4265-B073-38D6EB0FD748}" name="Makara Başlangıç" dataDxfId="135"/>
    <tableColumn id="10" xr3:uid="{FB5A78EB-B100-4166-825E-3D054FD83BD3}" name="Makara Bitiş" dataDxfId="134"/>
    <tableColumn id="11" xr3:uid="{AE329A58-366D-4EF7-9350-1060A8DC9283}" name="Başlangıç Elemanı" dataDxfId="133"/>
    <tableColumn id="12" xr3:uid="{3F62595E-6814-4276-ABBC-E6D72502215B}" name="Başlangıç Km" dataDxfId="132"/>
    <tableColumn id="13" xr3:uid="{410A1258-2FFE-4EF7-9B29-0B2FADB76750}" name="Bitiş Elemanı" dataDxfId="131"/>
    <tableColumn id="14" xr3:uid="{F1EB20E6-4A90-42A8-A31F-01E24E6BFE62}" name="Bitiş Km" dataDxfId="130"/>
    <tableColumn id="15" xr3:uid="{57321D1B-6691-42BF-8A70-14E212D90322}" name="Hat 1 / Hat 2" dataDxfId="129" dataCellStyle="Normal 3"/>
    <tableColumn id="16" xr3:uid="{492193AC-701B-47D8-B926-92E21DCBEC18}" name="Ek Km" dataDxfId="128"/>
    <tableColumn id="17" xr3:uid="{9D99E1D1-1E6C-43E4-B546-3A4E9C45F376}" name="Makara Kalan Uzunluk" dataDxfId="127"/>
    <tableColumn id="18" xr3:uid="{ADA8792A-1DE3-48A1-8670-A12DF1B921D3}" name="Serim(m)" dataDxfId="126"/>
    <tableColumn id="19" xr3:uid="{F6F1A2B3-00DC-4A23-87C4-B89B64607C9E}" name="Metraj Hatası" dataDxfId="125">
      <calculatedColumnFormula>IF(SUMPRODUCT((fo_makara[[#Headers],[MAKARA NO]]=fo_224[[#This Row],[Makara Numarası]])*(fo_makara[[#Headers],[KALAN]]&lt;0))&gt;0,
    "HATA VAR",
    "")</calculatedColumnFormula>
    </tableColumn>
    <tableColumn id="20" xr3:uid="{5EA84C3A-1418-4DB8-AB56-49CCF08C2EA2}" name="Core Hatası" dataDxfId="124">
      <calculatedColumnFormula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calculatedColumnFormula>
    </tableColumn>
    <tableColumn id="21" xr3:uid="{5670D7DE-CCE1-4B08-AF09-FF3B5112E171}" name="Kılıf Hatası" dataDxfId="123">
      <calculatedColumnFormula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7B44D7-0C53-4359-8ACA-0A8A171885CD}" name="fo_1288" displayName="fo_1288" ref="A1:U28" totalsRowShown="0" headerRowDxfId="31" dataDxfId="30" tableBorderDxfId="122">
  <autoFilter ref="A1:U28" xr:uid="{7A7B44D7-0C53-4359-8ACA-0A8A171885CD}"/>
  <tableColumns count="21">
    <tableColumn id="1" xr3:uid="{09B8C514-1237-4744-B61B-D75F2558646B}" name="Tarih" dataDxfId="52"/>
    <tableColumn id="2" xr3:uid="{C01EC902-1D4E-4D9B-9133-5510488D62A7}" name="Bina" dataDxfId="51"/>
    <tableColumn id="3" xr3:uid="{21BEE42D-CA73-4397-B26C-00120EBAFEC5}" name="Kablo Etiketi" dataDxfId="50"/>
    <tableColumn id="4" xr3:uid="{3223ADB3-40F0-449D-8613-54C7BA910732}" name="Nereden" dataDxfId="49"/>
    <tableColumn id="5" xr3:uid="{8AD196C6-A215-42A2-846E-1A89ADE76BEE}" name="Nereye" dataDxfId="48"/>
    <tableColumn id="6" xr3:uid="{E464B615-F806-4A25-BC3D-A64D8CD657D3}" name="Kablo Tipi" dataDxfId="47"/>
    <tableColumn id="7" xr3:uid="{D0B981E6-CE77-4BDA-B7B3-3E88B996ECBB}" name="Makara Numarası" dataDxfId="46"/>
    <tableColumn id="8" xr3:uid="{37FE2E74-986C-46F1-95EE-581C9CA0E7B6}" name="Makara Uzunluğu" dataDxfId="45"/>
    <tableColumn id="9" xr3:uid="{57FA87C2-9108-4A02-83B7-0C4491521AB9}" name="Makara Başlangıç" dataDxfId="44"/>
    <tableColumn id="10" xr3:uid="{4BA2DF15-293B-48E7-888D-A4BE5CB26D22}" name="Makara Bitiş" dataDxfId="43"/>
    <tableColumn id="11" xr3:uid="{D0F62149-E5AE-4FB1-8610-7B7EC1FB1FB1}" name="Başlangıç Elemanı" dataDxfId="42"/>
    <tableColumn id="12" xr3:uid="{1B5FA488-6D87-4B8C-A3F3-07089B1EBE26}" name="Başlangıç Km" dataDxfId="41"/>
    <tableColumn id="13" xr3:uid="{90D4E781-52CA-485F-AE42-800D9C8C1E07}" name="Bitiş Elemanı" dataDxfId="40"/>
    <tableColumn id="14" xr3:uid="{AAD4E859-0F12-4144-9F70-6F693C68D488}" name="Bitiş Km" dataDxfId="39"/>
    <tableColumn id="15" xr3:uid="{C90402A3-B4E1-44E9-ACF2-15BB1B0F0A7A}" name="Hat 1 / Hat 2" dataDxfId="38" dataCellStyle="Normal 3"/>
    <tableColumn id="16" xr3:uid="{4EA4CAA6-CB98-43A8-9081-43E37FB3483B}" name="Ek Km" dataDxfId="37"/>
    <tableColumn id="17" xr3:uid="{AF64CF0B-BB5D-4BE5-B01F-3547CD42ACF7}" name="Makara Kalan Uzunluk" dataDxfId="36"/>
    <tableColumn id="18" xr3:uid="{92F61687-102D-40E4-9FAE-A3CB6D893C2B}" name="Serim(m)" dataDxfId="35"/>
    <tableColumn id="19" xr3:uid="{101F0D77-9F7A-4472-ADDD-1D553EAE966D}" name="Metraj Hatası" dataDxfId="34">
      <calculatedColumnFormula>IF(SUMPRODUCT((fo_makara[[#Headers],[MAKARA NO]]=fo_1288[[#This Row],[Makara Numarası]])*(fo_makara[[#Headers],[KALAN]]&lt;0))&gt;0,
    "HATA VAR",
    "")</calculatedColumnFormula>
    </tableColumn>
    <tableColumn id="20" xr3:uid="{2FEBA9EC-9050-4DFD-BE04-BF0C965CDB1A}" name="Core Hatası" dataDxfId="33">
      <calculatedColumnFormula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calculatedColumnFormula>
    </tableColumn>
    <tableColumn id="21" xr3:uid="{37A3CE96-BEF2-4B8D-804E-88C00A35A15B}" name="Kılıf Hatası" dataDxfId="32">
      <calculatedColumnFormula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D0192D-D32A-4E1F-A037-35E68C3D2EC6}" name="fo_2288" displayName="fo_2288" ref="A1:U29" totalsRowShown="0" headerRowDxfId="8" dataDxfId="7" tableBorderDxfId="121">
  <autoFilter ref="A1:U29" xr:uid="{4FD0192D-D32A-4E1F-A037-35E68C3D2EC6}"/>
  <tableColumns count="21">
    <tableColumn id="1" xr3:uid="{4355E317-F475-41FD-9088-945F35D97134}" name="Tarih" dataDxfId="29"/>
    <tableColumn id="2" xr3:uid="{953F5149-54EB-4B78-8C51-0D2567721CDB}" name="Bina" dataDxfId="28"/>
    <tableColumn id="3" xr3:uid="{39E691E7-95BC-4EE5-AA0B-A9EE61832410}" name="Kablo Etiketi" dataDxfId="27"/>
    <tableColumn id="4" xr3:uid="{8F8B0D46-9FB9-4538-A14E-E045B90E7288}" name="Nereden" dataDxfId="26"/>
    <tableColumn id="5" xr3:uid="{3AAB4A01-E6D4-4BBE-AF85-340B74B56183}" name="Nereye" dataDxfId="25"/>
    <tableColumn id="6" xr3:uid="{BB45A8E4-2979-48EB-8A71-8A0902A74D28}" name="Kablo Tipi" dataDxfId="24"/>
    <tableColumn id="7" xr3:uid="{B77C5781-F1EE-4133-949C-37BCAD0AA736}" name="Makara Numarası" dataDxfId="23"/>
    <tableColumn id="8" xr3:uid="{70659063-2759-4AA0-97EB-3722A8B9EBA5}" name="Makara Uzunluğu" dataDxfId="22"/>
    <tableColumn id="9" xr3:uid="{562D8F88-492D-4003-88DD-6BD5BA0E7F3E}" name="Makara Başlangıç" dataDxfId="21"/>
    <tableColumn id="10" xr3:uid="{E5E8B362-0F2C-40CE-AE83-77CF4A1AAC90}" name="Makara Bitiş" dataDxfId="20"/>
    <tableColumn id="11" xr3:uid="{848F0CA4-7106-4F95-9C59-051E87A7532C}" name="Başlangıç Elemanı" dataDxfId="19"/>
    <tableColumn id="12" xr3:uid="{B75C7C2B-264E-4DF3-9BD4-AD4AE5DFD658}" name="Başlangıç Km" dataDxfId="18"/>
    <tableColumn id="13" xr3:uid="{448B0796-B8A9-4895-8708-C5FCB4F11F83}" name="Bitiş Elemanı" dataDxfId="17"/>
    <tableColumn id="14" xr3:uid="{6F6FB2C0-F6DF-4398-8D3D-FD8FBCD5CD47}" name="Bitiş Km" dataDxfId="16"/>
    <tableColumn id="15" xr3:uid="{05E1BDA4-AB2E-41D4-8650-6787E74124DB}" name="Hat 1 / Hat 2" dataDxfId="15" dataCellStyle="Normal 3"/>
    <tableColumn id="16" xr3:uid="{653D2DB2-60B2-4B13-819E-02D77C6C12C5}" name="Ek Km" dataDxfId="14"/>
    <tableColumn id="17" xr3:uid="{98EDC52A-2C04-44DA-9D86-AE43B1688BCE}" name="Makara Kalan Uzunluk" dataDxfId="13"/>
    <tableColumn id="18" xr3:uid="{1DF36545-C229-46EF-8027-642CD3D1F699}" name="Serim(m)" dataDxfId="12"/>
    <tableColumn id="19" xr3:uid="{503DDA94-F10A-45C0-9BB4-0DD0E88DC199}" name="Metraj Hatası" dataDxfId="11">
      <calculatedColumnFormula>IF(SUMPRODUCT((fo_makara[[#Headers],[MAKARA NO]]=fo_2288[[#This Row],[Makara Numarası]])*(fo_makara[[#Headers],[KALAN]]&lt;0))&gt;0,
    "HATA VAR",
    "")</calculatedColumnFormula>
    </tableColumn>
    <tableColumn id="20" xr3:uid="{8B2368A3-010F-46DE-9D46-EBDC795E4E29}" name="Core Hatası" dataDxfId="10">
      <calculatedColumnFormula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calculatedColumnFormula>
    </tableColumn>
    <tableColumn id="21" xr3:uid="{E337D919-2E41-4211-AC13-E9E4878FAAF3}" name="Kılıf Hatası" dataDxfId="9">
      <calculatedColumnFormula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8F8E5A-B099-40C9-A43C-9CA6D04E2DC2}" name="Tablo10" displayName="Tablo10" ref="A1:E163" totalsRowShown="0" headerRowDxfId="120" dataDxfId="119">
  <autoFilter ref="A1:E163" xr:uid="{9E8F8E5A-B099-40C9-A43C-9CA6D04E2DC2}"/>
  <tableColumns count="5">
    <tableColumn id="1" xr3:uid="{0F7FA232-694D-4216-AED3-346B1F58765D}" name="Hat" dataDxfId="118"/>
    <tableColumn id="2" xr3:uid="{FB47BCBF-07A8-44ED-A4A9-7A996C9463A2}" name="Core" dataDxfId="117"/>
    <tableColumn id="3" xr3:uid="{5462FA92-6106-4146-92EC-33CAA89E601B}" name="Ek KM" dataDxfId="116"/>
    <tableColumn id="4" xr3:uid="{78BBF47D-1C72-44B3-9CB2-5DB0A1C540BF}" name="Azalan Makara" dataDxfId="115"/>
    <tableColumn id="5" xr3:uid="{1DE09862-FD76-496D-986D-69C77204778A}" name="Artan Makara" dataDxfId="114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CAC53B-4FE4-4D24-BDE1-0946FB9F4B38}" name="e_makara" displayName="e_makara" ref="A1:E118" totalsRowShown="0" headerRowDxfId="1" dataDxfId="0">
  <autoFilter ref="A1:E118" xr:uid="{85CAC53B-4FE4-4D24-BDE1-0946FB9F4B38}"/>
  <tableColumns count="5">
    <tableColumn id="1" xr3:uid="{C25F7AF9-1821-4D7E-8BFA-1A6428882940}" name="Kablo" dataDxfId="6"/>
    <tableColumn id="2" xr3:uid="{96984B70-D293-44DD-AC6B-42EA0F458A63}" name="MAKARA NO" dataDxfId="5"/>
    <tableColumn id="3" xr3:uid="{EC80C490-77A9-4FC2-A446-B975EC3AC641}" name="Kablo Cinsi" dataDxfId="4"/>
    <tableColumn id="4" xr3:uid="{88690ECA-3C6B-4002-B892-FA1BA704B47A}" name="UZUNLUK (mt)" dataDxfId="3"/>
    <tableColumn id="5" xr3:uid="{591EC832-59BA-4AF1-8E34-EF342219A348}" name="Kalan" dataDxfId="2">
      <calculatedColumnFormula>e_makara[[#This Row],[UZUNLUK (mt)]] - (
    SUMIF(e_1[Makara Numarası], e_makara[[#This Row],[MAKARA NO]], e_1[Serim(m)]) +
    SUMIF(e_2[Makara Numarası], e_makara[[#This Row],[MAKARA NO]], e_2[Serim(m)])
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4974E-B07B-4E6D-AD81-C52F6EED5DA5}" name="e_1" displayName="e_1" ref="A1:T75" totalsRowShown="0" headerRowDxfId="101" headerRowBorderDxfId="99" tableBorderDxfId="100" totalsRowBorderDxfId="98">
  <autoFilter ref="A1:T75" xr:uid="{0984974E-B07B-4E6D-AD81-C52F6EED5DA5}"/>
  <tableColumns count="20">
    <tableColumn id="1" xr3:uid="{F38DF506-0BBF-41A4-BF23-5EB836A0D83B}" name="Tarih" dataDxfId="97" dataCellStyle="Normal 4"/>
    <tableColumn id="2" xr3:uid="{60F10113-2A1A-40E9-A067-7CAD1B49D045}" name="TB" dataDxfId="96"/>
    <tableColumn id="3" xr3:uid="{B8F06821-84CC-4A6A-8A9B-AF7E2F1B5714}" name="Kablo Etiketi" dataDxfId="95" dataCellStyle="Normal 4"/>
    <tableColumn id="4" xr3:uid="{306C9517-1993-4BFF-A86E-30BE17378894}" name="Nereden" dataDxfId="94" dataCellStyle="Normal 4"/>
    <tableColumn id="5" xr3:uid="{58978F0B-0CA9-4287-88CF-0EB5E5079A92}" name="Nereye" dataDxfId="93" dataCellStyle="Normal 4"/>
    <tableColumn id="6" xr3:uid="{429DEAA6-6898-4191-8742-383EC09AD89F}" name="Kablo Tipi" dataDxfId="92" dataCellStyle="Normal 4"/>
    <tableColumn id="7" xr3:uid="{8AB0BEC0-4D26-4BBD-A6FE-13649824F2D0}" name="Makara Numarası" dataDxfId="91" dataCellStyle="Normal 4"/>
    <tableColumn id="8" xr3:uid="{B8C482CE-507D-4C32-BDE9-AFE3DE767538}" name="Makara Uzunluğu" dataDxfId="90" dataCellStyle="Normal 4"/>
    <tableColumn id="9" xr3:uid="{0C0FDF36-F405-4966-966F-0BD9FB2BAFDA}" name="Makara Başlangıç" dataDxfId="89" dataCellStyle="Normal 4"/>
    <tableColumn id="10" xr3:uid="{DEC69AF1-9A5C-45C6-A502-0F130BCD2D49}" name="Makara Bitiş" dataDxfId="88" dataCellStyle="Normal 4"/>
    <tableColumn id="11" xr3:uid="{F7E86133-36B3-4A8D-867D-E35B08292606}" name="Başlangıç Elemanı" dataDxfId="87" dataCellStyle="Normal 4"/>
    <tableColumn id="12" xr3:uid="{22DF37AA-21EE-406F-8979-E671F2510946}" name="Başlangıç Km" dataDxfId="86" dataCellStyle="Normal 4"/>
    <tableColumn id="13" xr3:uid="{79AD7004-0E86-4531-A2CB-99AB34B8DAD1}" name="Bitiş Elemanı" dataDxfId="85" dataCellStyle="Normal 4"/>
    <tableColumn id="14" xr3:uid="{C16656FD-0925-479F-A8B2-AE8BCB7BE623}" name="Bitiş Km" dataDxfId="84" dataCellStyle="Normal 4"/>
    <tableColumn id="15" xr3:uid="{9381B74D-EC5F-4A12-B64A-A250DA81CCDD}" name="Hat 1 / Hat 2" dataDxfId="83"/>
    <tableColumn id="16" xr3:uid="{6E359CAC-B7E5-43D0-97EC-17A5CF6F66F6}" name="Ek Km" dataDxfId="82" dataCellStyle="Normal 4"/>
    <tableColumn id="17" xr3:uid="{001B7312-E209-4082-A7BF-41235D9FF26A}" name="Makara Kalan Uzunluk" dataDxfId="81" dataCellStyle="Normal 4"/>
    <tableColumn id="18" xr3:uid="{F44A89BE-FB77-450B-B37F-18811F910124}" name="Serim(m)" dataDxfId="80" dataCellStyle="Normal 4"/>
    <tableColumn id="19" xr3:uid="{938BE9D6-B2FE-4572-94F2-8418EE2ED1B2}" name="Metraj Hatası" dataDxfId="79" dataCellStyle="Normal 4">
      <calculatedColumnFormula>IF(SUMPRODUCT((e_makara[[#Headers],[MAKARA NO]]=e_1[[#This Row],[Makara Numarası]])*(e_makara[[#Headers],[Kalan]]&lt;0))&gt;0,
    "HATA VAR",
    "")</calculatedColumnFormula>
    </tableColumn>
    <tableColumn id="20" xr3:uid="{A57DB65F-A64D-460C-98BB-B7A05F903F8D}" name="Kılıf Hatası" dataDxfId="78" dataCellStyle="Normal 4">
      <calculatedColumnFormula>IFERROR(
   IF(
      (COUNTIF(e_1[[#This Row],[Kablo Tipi]],"*(H)*")&gt;0) =
      (INDEX(e_makara[Kablo Cinsi],MATCH(e_1[[#This Row],[Makara Numarası]],e_makara[MAKARA NO],0))="LSZH"),
      "",
      "HATA VAR"
   ),
"HATA VAR")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2645FA-C590-4310-BF20-9C4E68F38412}" name="e_2" displayName="e_2" ref="A1:T19" totalsRowShown="0" headerRowDxfId="77" dataDxfId="76" headerRowBorderDxfId="74" tableBorderDxfId="75" totalsRowBorderDxfId="73">
  <autoFilter ref="A1:T19" xr:uid="{062645FA-C590-4310-BF20-9C4E68F38412}"/>
  <tableColumns count="20">
    <tableColumn id="1" xr3:uid="{DA3143D2-DC61-4889-B1D0-DAEEFD0A9479}" name="Tarih" dataDxfId="72"/>
    <tableColumn id="2" xr3:uid="{33800E7B-DB5B-4861-B6DB-AE74338579C4}" name="TB" dataDxfId="71"/>
    <tableColumn id="3" xr3:uid="{34F95B9F-B551-42F1-B10E-6C5E3BE7AA70}" name="Kablo Etiketi" dataDxfId="70"/>
    <tableColumn id="4" xr3:uid="{FC0BC48D-C5D8-4D03-A1BD-A624649BA97B}" name="Nereden" dataDxfId="69"/>
    <tableColumn id="5" xr3:uid="{2BBD599C-EF91-41C5-B44E-474916E95CA8}" name="Nereye" dataDxfId="68"/>
    <tableColumn id="6" xr3:uid="{8BF1DDB0-E870-4785-93AE-929EEF2E2B49}" name="Kablo Tipi" dataDxfId="67"/>
    <tableColumn id="7" xr3:uid="{E4AA95CA-9F22-48CA-9EFA-9A7682449CF4}" name="Makara Numarası" dataDxfId="66"/>
    <tableColumn id="8" xr3:uid="{52905D01-0463-4052-93EB-E43500EA0BA1}" name="Makara Uzunluğu" dataDxfId="65"/>
    <tableColumn id="9" xr3:uid="{4D7E03C5-51B3-4DCA-91B6-D9A69E79D517}" name="Makara Başlangıç" dataDxfId="64"/>
    <tableColumn id="10" xr3:uid="{66154D42-B20E-4ABB-AF85-F705F92F24CD}" name="Makara Bitiş" dataDxfId="63"/>
    <tableColumn id="11" xr3:uid="{A43C0BAD-B6A9-4F71-BBEB-D925A8CF9161}" name="Başlangıç Elemanı" dataDxfId="62"/>
    <tableColumn id="12" xr3:uid="{E077B0C1-70FB-44DD-ACD4-0779A802E656}" name="Başlangıç Km" dataDxfId="61"/>
    <tableColumn id="13" xr3:uid="{82799A00-CA0B-48D4-8E82-7A6C018F4F28}" name="Bitiş Elemanı" dataDxfId="60"/>
    <tableColumn id="14" xr3:uid="{CF2482A8-5E11-4E7F-BFF0-CC88C2BA45AF}" name="Bitiş Km" dataDxfId="59"/>
    <tableColumn id="15" xr3:uid="{E3DC53E7-CFA7-47C3-87C3-2B2E5EDA9D97}" name="Hat 1 / Hat 2" dataDxfId="58"/>
    <tableColumn id="16" xr3:uid="{582468F5-7680-4693-8FB8-F855C98C0205}" name="Ek Km" dataDxfId="57"/>
    <tableColumn id="17" xr3:uid="{738D86E6-5A16-48AE-B103-B33B52CFB72D}" name="Makara Kalan Uzunluk" dataDxfId="56"/>
    <tableColumn id="18" xr3:uid="{B05C208F-9B37-4594-8CB0-023C68C62A03}" name="Serim(m)" dataDxfId="55"/>
    <tableColumn id="19" xr3:uid="{6A4215CB-3F3B-4799-9AEC-6DF7BC2E62B3}" name="Metraj Hatası" dataDxfId="54">
      <calculatedColumnFormula>IF(SUMPRODUCT((e_makara[[#Headers],[MAKARA NO]]=e_2[[#This Row],[Makara Numarası]])*(e_makara[[#Headers],[Kalan]]&lt;0))&gt;0,
    "HATA VAR",
    "")</calculatedColumnFormula>
    </tableColumn>
    <tableColumn id="20" xr3:uid="{4C1DD27B-ECC9-4EBA-8A51-D0497B87F043}" name="Kılıf Hatası" dataDxfId="53">
      <calculatedColumnFormula>IFERROR(
   IF(
      (COUNTIF(e_2[[#This Row],[Kablo Tipi]],"*(H)*")&gt;0) =
      (INDEX(e_makara[Kablo Cinsi],MATCH(e_2[[#This Row],[Makara Numarası]],e_makara[MAKARA NO],0))="LSZH"),
      "",
      "HATA VAR"
   ),
"HATA VAR")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60B334-2905-4317-A926-AB99F1D5783E}" name="Tablo2" displayName="Tablo2" ref="A1:D104" totalsRowShown="0" headerRowDxfId="113" dataDxfId="112">
  <autoFilter ref="A1:D104" xr:uid="{C060B334-2905-4317-A926-AB99F1D5783E}"/>
  <tableColumns count="4">
    <tableColumn id="1" xr3:uid="{0FBCA08C-12E6-4F6C-B7C5-DA3D021EB7B4}" name="Hat" dataDxfId="111"/>
    <tableColumn id="2" xr3:uid="{38C0C0CF-8286-4D84-8AC5-929593C8E5F2}" name="Ek KM" dataDxfId="110"/>
    <tableColumn id="3" xr3:uid="{B616825E-7DC8-4941-A09F-45CDD5D06EE2}" name="Azalan Makara" dataDxfId="109"/>
    <tableColumn id="4" xr3:uid="{A15AF399-1106-4463-860B-54C11A073511}" name="Artan Makara" dataDxfId="10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3EE0-1E5A-4005-A614-542B55DB4F2E}">
  <dimension ref="A1:I10"/>
  <sheetViews>
    <sheetView workbookViewId="0">
      <selection activeCell="G14" sqref="G14"/>
    </sheetView>
  </sheetViews>
  <sheetFormatPr defaultRowHeight="14.4" x14ac:dyDescent="0.3"/>
  <cols>
    <col min="1" max="1" width="16.109375" style="1" bestFit="1" customWidth="1"/>
    <col min="2" max="2" width="18.44140625" style="1" bestFit="1" customWidth="1"/>
    <col min="3" max="3" width="19.5546875" style="1" bestFit="1" customWidth="1"/>
    <col min="4" max="4" width="19.21875" style="1" bestFit="1" customWidth="1"/>
    <col min="5" max="5" width="18.88671875" style="1" bestFit="1" customWidth="1"/>
    <col min="6" max="6" width="16.88671875" style="1" bestFit="1" customWidth="1"/>
    <col min="7" max="7" width="27.77734375" style="1" bestFit="1" customWidth="1"/>
    <col min="8" max="8" width="20.109375" style="1" bestFit="1" customWidth="1"/>
    <col min="9" max="9" width="27.109375" style="1" bestFit="1" customWidth="1"/>
    <col min="10" max="16384" width="8.88671875" style="1"/>
  </cols>
  <sheetData>
    <row r="1" spans="1:9" x14ac:dyDescent="0.3">
      <c r="A1" s="66" t="s">
        <v>801</v>
      </c>
      <c r="B1" s="66" t="s">
        <v>802</v>
      </c>
      <c r="C1" s="66" t="s">
        <v>803</v>
      </c>
      <c r="D1" s="66" t="s">
        <v>804</v>
      </c>
      <c r="E1" s="66" t="s">
        <v>805</v>
      </c>
      <c r="F1" s="66" t="s">
        <v>806</v>
      </c>
      <c r="G1" s="66" t="s">
        <v>807</v>
      </c>
      <c r="H1" s="66" t="s">
        <v>808</v>
      </c>
      <c r="I1" s="66" t="s">
        <v>809</v>
      </c>
    </row>
    <row r="2" spans="1:9" x14ac:dyDescent="0.3">
      <c r="A2" s="62" t="s">
        <v>810</v>
      </c>
      <c r="B2" s="63">
        <v>70000</v>
      </c>
      <c r="C2" s="63">
        <f>SUMIFS(
    fo_makara[UZUNLUK (mt)],
    fo_makara[CORE], 288,
    fo_makara[KABLO CİNSİ], "A-DQ"
)</f>
        <v>48618</v>
      </c>
      <c r="D2" s="63">
        <f>B2-C2</f>
        <v>21382</v>
      </c>
      <c r="E2" s="63">
        <f>SUMIF(fo_1288[Kablo Tipi], "288 F/O (H)", fo_1288[Serim(m)])+SUMIF(fo_2288[Kablo Tipi], "288 F/O (H)", fo_2288[Serim(m)])</f>
        <v>34794</v>
      </c>
      <c r="F2" s="63">
        <f>C2-E2</f>
        <v>13824</v>
      </c>
      <c r="G2" s="67">
        <f t="shared" ref="G2:G7" si="0">C2/B2</f>
        <v>0.69454285714285713</v>
      </c>
      <c r="H2" s="67">
        <f>E2/C2</f>
        <v>0.71566086634579784</v>
      </c>
      <c r="I2" s="64">
        <f>E2/B2</f>
        <v>0.49705714285714286</v>
      </c>
    </row>
    <row r="3" spans="1:9" x14ac:dyDescent="0.3">
      <c r="A3" s="62" t="s">
        <v>811</v>
      </c>
      <c r="B3" s="63">
        <v>145000</v>
      </c>
      <c r="C3" s="63">
        <f>SUMIFS(
    fo_makara[UZUNLUK (mt)],
    fo_makara[CORE], 288,
    fo_makara[KABLO CİNSİ], "A-DF"
)</f>
        <v>96931</v>
      </c>
      <c r="D3" s="63">
        <f t="shared" ref="D3:D7" si="1">B3-C3</f>
        <v>48069</v>
      </c>
      <c r="E3" s="63">
        <f>SUMIF(fo_1288[Kablo Tipi], "288 F/O", fo_1288[Serim(m)])+SUMIF(fo_2288[Kablo Tipi], "288 F/O", fo_2288[Serim(m)])</f>
        <v>50852</v>
      </c>
      <c r="F3" s="63">
        <f t="shared" ref="F3:F7" si="2">C3-E3</f>
        <v>46079</v>
      </c>
      <c r="G3" s="67">
        <f t="shared" si="0"/>
        <v>0.66848965517241377</v>
      </c>
      <c r="H3" s="67">
        <f>E3/C3</f>
        <v>0.52462060641074582</v>
      </c>
      <c r="I3" s="64">
        <f>E3/B3</f>
        <v>0.35070344827586208</v>
      </c>
    </row>
    <row r="4" spans="1:9" x14ac:dyDescent="0.3">
      <c r="A4" s="62" t="s">
        <v>812</v>
      </c>
      <c r="B4" s="63">
        <v>70000</v>
      </c>
      <c r="C4" s="63">
        <f>SUMIFS(
    fo_makara[UZUNLUK (mt)],
    fo_makara[CORE], 24,
    fo_makara[KABLO CİNSİ], "A-DQ"
)</f>
        <v>53067</v>
      </c>
      <c r="D4" s="63">
        <f t="shared" si="1"/>
        <v>16933</v>
      </c>
      <c r="E4" s="63">
        <f>SUMIF(fo_124[Kablo Tipi], "24 F/O (H)", fo_124[Serim(m)])+SUMIF(fo_224[Kablo Tipi], "24 F/O (H)", fo_224[Serim(m)])</f>
        <v>37304</v>
      </c>
      <c r="F4" s="63">
        <f t="shared" si="2"/>
        <v>15763</v>
      </c>
      <c r="G4" s="67">
        <f t="shared" si="0"/>
        <v>0.7581</v>
      </c>
      <c r="H4" s="67">
        <f>E4/C4</f>
        <v>0.70296040854014741</v>
      </c>
      <c r="I4" s="64">
        <f t="shared" ref="I4:I6" si="3">E4/B4</f>
        <v>0.53291428571428567</v>
      </c>
    </row>
    <row r="5" spans="1:9" x14ac:dyDescent="0.3">
      <c r="A5" s="62" t="s">
        <v>813</v>
      </c>
      <c r="B5" s="63">
        <v>145000</v>
      </c>
      <c r="C5" s="63">
        <f>SUMIFS(
    fo_makara[UZUNLUK (mt)],
    fo_makara[CORE], 24,
    fo_makara[KABLO CİNSİ], "A-DF"
)</f>
        <v>101961</v>
      </c>
      <c r="D5" s="63">
        <f t="shared" si="1"/>
        <v>43039</v>
      </c>
      <c r="E5" s="63">
        <f>SUMIF(fo_124[Kablo Tipi], "24 F/O", fo_124[Serim(m)])+SUMIF(fo_224[Kablo Tipi], "24 F/O", fo_224[Serim(m)])</f>
        <v>53473</v>
      </c>
      <c r="F5" s="63">
        <f t="shared" si="2"/>
        <v>48488</v>
      </c>
      <c r="G5" s="67">
        <f t="shared" si="0"/>
        <v>0.70317931034482761</v>
      </c>
      <c r="H5" s="67">
        <f>E5/C5</f>
        <v>0.5244456213650317</v>
      </c>
      <c r="I5" s="64">
        <f t="shared" si="3"/>
        <v>0.36877931034482758</v>
      </c>
    </row>
    <row r="6" spans="1:9" x14ac:dyDescent="0.3">
      <c r="A6" s="62" t="s">
        <v>814</v>
      </c>
      <c r="B6" s="65">
        <v>46100</v>
      </c>
      <c r="C6" s="65">
        <f>SUMIFS(
    e_makara[UZUNLUK (mt)],
    e_makara[Kablo Cinsi], "LSZH"
)</f>
        <v>46775</v>
      </c>
      <c r="D6" s="65">
        <f t="shared" si="1"/>
        <v>-675</v>
      </c>
      <c r="E6" s="63">
        <f>SUMIF(e_1[Kablo Tipi], "2X6 (H)", e_1[Serim(m)])+SUMIF(e_2[Kablo Tipi], "2X6 (H)", e_2[Serim(m)])</f>
        <v>14742</v>
      </c>
      <c r="F6" s="63">
        <f t="shared" si="2"/>
        <v>32033</v>
      </c>
      <c r="G6" s="67">
        <f t="shared" si="0"/>
        <v>1.014642082429501</v>
      </c>
      <c r="H6" s="67">
        <f t="shared" ref="H6:H7" si="4">E6/C6</f>
        <v>0.31516835916622127</v>
      </c>
      <c r="I6" s="64">
        <f t="shared" si="3"/>
        <v>0.31978308026030366</v>
      </c>
    </row>
    <row r="7" spans="1:9" x14ac:dyDescent="0.3">
      <c r="A7" s="62" t="s">
        <v>815</v>
      </c>
      <c r="B7" s="65">
        <v>75100</v>
      </c>
      <c r="C7" s="65">
        <f>SUMIFS(
    e_makara[UZUNLUK (mt)],
    e_makara[Kablo Cinsi], "PE"
)</f>
        <v>71734</v>
      </c>
      <c r="D7" s="65">
        <f t="shared" si="1"/>
        <v>3366</v>
      </c>
      <c r="E7" s="65">
        <f>SUMIF(e_1[Kablo Tipi], "2X6", e_1[Serim(m)])+SUMIF(e_2[Kablo Tipi], "2X6", e_2[Serim(m)])</f>
        <v>21317</v>
      </c>
      <c r="F7" s="63">
        <f t="shared" si="2"/>
        <v>50417</v>
      </c>
      <c r="G7" s="67">
        <f t="shared" si="0"/>
        <v>0.95517976031957386</v>
      </c>
      <c r="H7" s="67">
        <f t="shared" si="4"/>
        <v>0.29716731257144452</v>
      </c>
      <c r="I7" s="64">
        <f>E7/B7</f>
        <v>0.28384820239680425</v>
      </c>
    </row>
    <row r="9" spans="1:9" x14ac:dyDescent="0.3">
      <c r="A9" s="76" t="s">
        <v>816</v>
      </c>
    </row>
    <row r="10" spans="1:9" x14ac:dyDescent="0.3">
      <c r="A10" s="77">
        <f>SUM(E2:E7)/SUM(B2:B7)</f>
        <v>0.38548984034833089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workbookViewId="0">
      <selection activeCell="D14" sqref="D14"/>
    </sheetView>
  </sheetViews>
  <sheetFormatPr defaultRowHeight="14.4" x14ac:dyDescent="0.3"/>
  <cols>
    <col min="1" max="1" width="17.21875" style="1" bestFit="1" customWidth="1"/>
    <col min="2" max="2" width="10.77734375" style="1" bestFit="1" customWidth="1"/>
    <col min="3" max="3" width="16.5546875" style="1" bestFit="1" customWidth="1"/>
    <col min="4" max="4" width="18.44140625" style="1" bestFit="1" customWidth="1"/>
    <col min="5" max="5" width="13.5546875" style="1" bestFit="1" customWidth="1"/>
    <col min="6" max="6" width="7" style="1" bestFit="1" customWidth="1"/>
    <col min="7" max="7" width="16" style="1" bestFit="1" customWidth="1"/>
    <col min="8" max="8" width="15.109375" style="1" bestFit="1" customWidth="1"/>
    <col min="9" max="9" width="8.88671875" style="1"/>
    <col min="10" max="10" width="13.5546875" style="1" bestFit="1" customWidth="1"/>
    <col min="11" max="11" width="7" style="1" bestFit="1" customWidth="1"/>
    <col min="12" max="12" width="16" style="1" bestFit="1" customWidth="1"/>
    <col min="13" max="13" width="15.109375" style="1" bestFit="1" customWidth="1"/>
    <col min="14" max="16384" width="8.88671875" style="1"/>
  </cols>
  <sheetData>
    <row r="1" spans="1:13" x14ac:dyDescent="0.3">
      <c r="A1" s="3" t="s">
        <v>508</v>
      </c>
      <c r="B1" s="3" t="s">
        <v>509</v>
      </c>
      <c r="C1" s="3" t="s">
        <v>510</v>
      </c>
      <c r="D1" s="3" t="s">
        <v>511</v>
      </c>
      <c r="E1" s="3" t="s">
        <v>799</v>
      </c>
    </row>
    <row r="2" spans="1:13" x14ac:dyDescent="0.3">
      <c r="A2" s="1" t="s">
        <v>512</v>
      </c>
      <c r="B2" s="1">
        <v>24</v>
      </c>
      <c r="C2" s="1" t="s">
        <v>9</v>
      </c>
      <c r="D2" s="4">
        <v>4089</v>
      </c>
      <c r="E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  <c r="G2" s="2"/>
      <c r="L2" s="2"/>
    </row>
    <row r="3" spans="1:13" x14ac:dyDescent="0.3">
      <c r="A3" s="1" t="s">
        <v>512</v>
      </c>
      <c r="B3" s="1">
        <v>24</v>
      </c>
      <c r="C3" s="1" t="s">
        <v>75</v>
      </c>
      <c r="D3" s="4">
        <v>4080</v>
      </c>
      <c r="E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4" spans="1:13" x14ac:dyDescent="0.3">
      <c r="A4" s="1" t="s">
        <v>512</v>
      </c>
      <c r="B4" s="1">
        <v>24</v>
      </c>
      <c r="C4" s="1" t="s">
        <v>87</v>
      </c>
      <c r="D4" s="4">
        <v>4048</v>
      </c>
      <c r="E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</v>
      </c>
    </row>
    <row r="5" spans="1:13" x14ac:dyDescent="0.3">
      <c r="A5" s="1" t="s">
        <v>512</v>
      </c>
      <c r="B5" s="1">
        <v>24</v>
      </c>
      <c r="C5" s="1" t="s">
        <v>17</v>
      </c>
      <c r="D5" s="4">
        <v>4133</v>
      </c>
      <c r="E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1390</v>
      </c>
    </row>
    <row r="6" spans="1:13" x14ac:dyDescent="0.3">
      <c r="A6" s="1" t="s">
        <v>512</v>
      </c>
      <c r="B6" s="1">
        <v>24</v>
      </c>
      <c r="C6" s="1" t="s">
        <v>21</v>
      </c>
      <c r="D6" s="4">
        <v>4073</v>
      </c>
      <c r="E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7" spans="1:13" x14ac:dyDescent="0.3">
      <c r="A7" s="1" t="s">
        <v>512</v>
      </c>
      <c r="B7" s="1">
        <v>288</v>
      </c>
      <c r="C7" s="1" t="s">
        <v>394</v>
      </c>
      <c r="D7" s="4">
        <v>2019</v>
      </c>
      <c r="E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8" spans="1:13" x14ac:dyDescent="0.3">
      <c r="A8" s="1" t="s">
        <v>512</v>
      </c>
      <c r="B8" s="1">
        <v>288</v>
      </c>
      <c r="C8" s="1" t="s">
        <v>462</v>
      </c>
      <c r="D8" s="4">
        <v>2010</v>
      </c>
      <c r="E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9" spans="1:13" x14ac:dyDescent="0.3">
      <c r="A9" s="1" t="s">
        <v>512</v>
      </c>
      <c r="B9" s="1">
        <v>288</v>
      </c>
      <c r="C9" s="1" t="s">
        <v>492</v>
      </c>
      <c r="D9" s="4">
        <v>2023</v>
      </c>
      <c r="E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  <c r="F9" s="2"/>
    </row>
    <row r="10" spans="1:13" x14ac:dyDescent="0.3">
      <c r="A10" s="1" t="s">
        <v>512</v>
      </c>
      <c r="B10" s="1">
        <v>288</v>
      </c>
      <c r="C10" s="1" t="s">
        <v>398</v>
      </c>
      <c r="D10" s="4">
        <v>2029</v>
      </c>
      <c r="E1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11" spans="1:13" x14ac:dyDescent="0.3">
      <c r="A11" s="1" t="s">
        <v>512</v>
      </c>
      <c r="B11" s="1">
        <v>288</v>
      </c>
      <c r="C11" s="1" t="s">
        <v>499</v>
      </c>
      <c r="D11" s="4">
        <v>2018</v>
      </c>
      <c r="E1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270</v>
      </c>
      <c r="M11" s="2"/>
    </row>
    <row r="12" spans="1:13" x14ac:dyDescent="0.3">
      <c r="A12" s="1" t="s">
        <v>512</v>
      </c>
      <c r="B12" s="1">
        <v>288</v>
      </c>
      <c r="C12" s="1" t="s">
        <v>389</v>
      </c>
      <c r="D12" s="4">
        <v>2048</v>
      </c>
      <c r="E1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13" spans="1:13" x14ac:dyDescent="0.3">
      <c r="A13" s="1" t="s">
        <v>512</v>
      </c>
      <c r="B13" s="1">
        <v>288</v>
      </c>
      <c r="C13" s="1" t="s">
        <v>399</v>
      </c>
      <c r="D13" s="4">
        <v>2013</v>
      </c>
      <c r="E1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  <c r="F13" s="2"/>
    </row>
    <row r="14" spans="1:13" x14ac:dyDescent="0.3">
      <c r="A14" s="1" t="s">
        <v>512</v>
      </c>
      <c r="B14" s="1">
        <v>288</v>
      </c>
      <c r="C14" s="1" t="s">
        <v>456</v>
      </c>
      <c r="D14" s="4">
        <v>2013</v>
      </c>
      <c r="E1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  <c r="H14" s="2"/>
    </row>
    <row r="15" spans="1:13" x14ac:dyDescent="0.3">
      <c r="A15" s="1" t="s">
        <v>512</v>
      </c>
      <c r="B15" s="1">
        <v>288</v>
      </c>
      <c r="C15" s="1" t="s">
        <v>469</v>
      </c>
      <c r="D15" s="4">
        <v>2035</v>
      </c>
      <c r="E1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425</v>
      </c>
    </row>
    <row r="16" spans="1:13" x14ac:dyDescent="0.3">
      <c r="A16" s="1" t="s">
        <v>512</v>
      </c>
      <c r="B16" s="1">
        <v>288</v>
      </c>
      <c r="C16" s="1" t="s">
        <v>513</v>
      </c>
      <c r="D16" s="4">
        <v>2018</v>
      </c>
      <c r="E1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2018</v>
      </c>
    </row>
    <row r="17" spans="1:5" x14ac:dyDescent="0.3">
      <c r="A17" s="1" t="s">
        <v>514</v>
      </c>
      <c r="B17" s="1">
        <v>24</v>
      </c>
      <c r="C17" s="1" t="s">
        <v>23</v>
      </c>
      <c r="D17" s="4">
        <v>4055</v>
      </c>
      <c r="E1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18" spans="1:5" x14ac:dyDescent="0.3">
      <c r="A18" s="1" t="s">
        <v>514</v>
      </c>
      <c r="B18" s="1">
        <v>24</v>
      </c>
      <c r="C18" s="1" t="s">
        <v>25</v>
      </c>
      <c r="D18" s="4">
        <v>4052</v>
      </c>
      <c r="E1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19" spans="1:5" x14ac:dyDescent="0.3">
      <c r="A19" s="1" t="s">
        <v>512</v>
      </c>
      <c r="B19" s="1">
        <v>24</v>
      </c>
      <c r="C19" s="1" t="s">
        <v>515</v>
      </c>
      <c r="D19" s="4">
        <v>4096</v>
      </c>
      <c r="E1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4096</v>
      </c>
    </row>
    <row r="20" spans="1:5" x14ac:dyDescent="0.3">
      <c r="A20" s="1" t="s">
        <v>512</v>
      </c>
      <c r="B20" s="1">
        <v>24</v>
      </c>
      <c r="C20" s="1" t="s">
        <v>19</v>
      </c>
      <c r="D20" s="4">
        <v>4093</v>
      </c>
      <c r="E2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21" spans="1:5" x14ac:dyDescent="0.3">
      <c r="A21" s="1" t="s">
        <v>512</v>
      </c>
      <c r="B21" s="1">
        <v>24</v>
      </c>
      <c r="C21" s="1" t="s">
        <v>15</v>
      </c>
      <c r="D21" s="4">
        <v>4115</v>
      </c>
      <c r="E2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110</v>
      </c>
    </row>
    <row r="22" spans="1:5" x14ac:dyDescent="0.3">
      <c r="A22" s="1" t="s">
        <v>512</v>
      </c>
      <c r="B22" s="1">
        <v>288</v>
      </c>
      <c r="C22" s="1" t="s">
        <v>467</v>
      </c>
      <c r="D22" s="4">
        <v>2021</v>
      </c>
      <c r="E2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1000</v>
      </c>
    </row>
    <row r="23" spans="1:5" x14ac:dyDescent="0.3">
      <c r="A23" s="1" t="s">
        <v>512</v>
      </c>
      <c r="B23" s="1">
        <v>288</v>
      </c>
      <c r="C23" s="1" t="s">
        <v>435</v>
      </c>
      <c r="D23" s="4">
        <v>1945</v>
      </c>
      <c r="E2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24" spans="1:5" x14ac:dyDescent="0.3">
      <c r="A24" s="1" t="s">
        <v>512</v>
      </c>
      <c r="B24" s="1">
        <v>288</v>
      </c>
      <c r="C24" s="1" t="s">
        <v>443</v>
      </c>
      <c r="D24" s="4">
        <v>2013</v>
      </c>
      <c r="E2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300</v>
      </c>
    </row>
    <row r="25" spans="1:5" x14ac:dyDescent="0.3">
      <c r="A25" s="1" t="s">
        <v>512</v>
      </c>
      <c r="B25" s="1">
        <v>288</v>
      </c>
      <c r="C25" s="1" t="s">
        <v>432</v>
      </c>
      <c r="D25" s="4">
        <v>2019</v>
      </c>
      <c r="E2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26" spans="1:5" x14ac:dyDescent="0.3">
      <c r="A26" s="1" t="s">
        <v>512</v>
      </c>
      <c r="B26" s="1">
        <v>288</v>
      </c>
      <c r="C26" s="1" t="s">
        <v>495</v>
      </c>
      <c r="D26" s="4">
        <v>2024</v>
      </c>
      <c r="E2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27" spans="1:5" x14ac:dyDescent="0.3">
      <c r="A27" s="1" t="s">
        <v>512</v>
      </c>
      <c r="B27" s="1">
        <v>288</v>
      </c>
      <c r="C27" s="1" t="s">
        <v>429</v>
      </c>
      <c r="D27" s="4">
        <v>2045</v>
      </c>
      <c r="E2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1000</v>
      </c>
    </row>
    <row r="28" spans="1:5" x14ac:dyDescent="0.3">
      <c r="A28" s="1" t="s">
        <v>514</v>
      </c>
      <c r="B28" s="1">
        <v>288</v>
      </c>
      <c r="C28" s="1" t="s">
        <v>410</v>
      </c>
      <c r="D28" s="4">
        <v>2023</v>
      </c>
      <c r="E2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29" spans="1:5" x14ac:dyDescent="0.3">
      <c r="A29" s="1" t="s">
        <v>514</v>
      </c>
      <c r="B29" s="1">
        <v>288</v>
      </c>
      <c r="C29" s="1" t="s">
        <v>475</v>
      </c>
      <c r="D29" s="4">
        <v>2042</v>
      </c>
      <c r="E2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0" spans="1:5" x14ac:dyDescent="0.3">
      <c r="A30" s="1" t="s">
        <v>514</v>
      </c>
      <c r="B30" s="1">
        <v>288</v>
      </c>
      <c r="C30" s="1" t="s">
        <v>484</v>
      </c>
      <c r="D30" s="4">
        <v>2014</v>
      </c>
      <c r="E3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1" spans="1:5" x14ac:dyDescent="0.3">
      <c r="A31" s="1" t="s">
        <v>514</v>
      </c>
      <c r="B31" s="1">
        <v>288</v>
      </c>
      <c r="C31" s="1" t="s">
        <v>407</v>
      </c>
      <c r="D31" s="4">
        <v>2063</v>
      </c>
      <c r="E3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2" spans="1:5" x14ac:dyDescent="0.3">
      <c r="A32" s="1" t="s">
        <v>514</v>
      </c>
      <c r="B32" s="1">
        <v>288</v>
      </c>
      <c r="C32" s="1" t="s">
        <v>470</v>
      </c>
      <c r="D32" s="4">
        <v>2015</v>
      </c>
      <c r="E3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3" spans="1:5" x14ac:dyDescent="0.3">
      <c r="A33" s="1" t="s">
        <v>514</v>
      </c>
      <c r="B33" s="1">
        <v>288</v>
      </c>
      <c r="C33" s="1" t="s">
        <v>401</v>
      </c>
      <c r="D33" s="4">
        <v>2015</v>
      </c>
      <c r="E3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4" spans="1:5" x14ac:dyDescent="0.3">
      <c r="A34" s="1" t="s">
        <v>514</v>
      </c>
      <c r="B34" s="1">
        <v>288</v>
      </c>
      <c r="C34" s="1" t="s">
        <v>403</v>
      </c>
      <c r="D34" s="4">
        <v>2009</v>
      </c>
      <c r="E3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5" spans="1:5" x14ac:dyDescent="0.3">
      <c r="A35" s="1" t="s">
        <v>514</v>
      </c>
      <c r="B35" s="1">
        <v>288</v>
      </c>
      <c r="C35" s="1" t="s">
        <v>472</v>
      </c>
      <c r="D35" s="4">
        <v>2049</v>
      </c>
      <c r="E3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6" spans="1:5" x14ac:dyDescent="0.3">
      <c r="A36" s="1" t="s">
        <v>512</v>
      </c>
      <c r="B36" s="1">
        <v>24</v>
      </c>
      <c r="C36" s="1" t="s">
        <v>516</v>
      </c>
      <c r="D36" s="4">
        <v>4048</v>
      </c>
      <c r="E3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4048</v>
      </c>
    </row>
    <row r="37" spans="1:5" x14ac:dyDescent="0.3">
      <c r="A37" s="1" t="s">
        <v>514</v>
      </c>
      <c r="B37" s="1">
        <v>24</v>
      </c>
      <c r="C37" s="1" t="s">
        <v>10</v>
      </c>
      <c r="D37" s="4">
        <v>4102</v>
      </c>
      <c r="E3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38" spans="1:5" x14ac:dyDescent="0.3">
      <c r="A38" s="5" t="s">
        <v>512</v>
      </c>
      <c r="B38" s="6">
        <v>24</v>
      </c>
      <c r="C38" s="6" t="s">
        <v>517</v>
      </c>
      <c r="D38" s="7">
        <v>4075</v>
      </c>
      <c r="E3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4075</v>
      </c>
    </row>
    <row r="39" spans="1:5" x14ac:dyDescent="0.3">
      <c r="A39" s="5" t="s">
        <v>512</v>
      </c>
      <c r="B39" s="6">
        <v>24</v>
      </c>
      <c r="C39" s="6" t="s">
        <v>203</v>
      </c>
      <c r="D39" s="7">
        <v>4079</v>
      </c>
      <c r="E3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40" spans="1:5" x14ac:dyDescent="0.3">
      <c r="A40" s="5" t="s">
        <v>512</v>
      </c>
      <c r="B40" s="6">
        <v>24</v>
      </c>
      <c r="C40" s="6" t="s">
        <v>14</v>
      </c>
      <c r="D40" s="7">
        <v>4100</v>
      </c>
      <c r="E4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41" spans="1:5" x14ac:dyDescent="0.3">
      <c r="A41" s="5" t="s">
        <v>512</v>
      </c>
      <c r="B41" s="6">
        <v>24</v>
      </c>
      <c r="C41" s="6" t="s">
        <v>243</v>
      </c>
      <c r="D41" s="7">
        <v>4100</v>
      </c>
      <c r="E4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42" spans="1:5" x14ac:dyDescent="0.3">
      <c r="A42" s="5" t="s">
        <v>512</v>
      </c>
      <c r="B42" s="6">
        <v>24</v>
      </c>
      <c r="C42" s="6" t="s">
        <v>11</v>
      </c>
      <c r="D42" s="7">
        <v>4049</v>
      </c>
      <c r="E4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</v>
      </c>
    </row>
    <row r="43" spans="1:5" x14ac:dyDescent="0.3">
      <c r="A43" s="5" t="s">
        <v>512</v>
      </c>
      <c r="B43" s="6">
        <v>24</v>
      </c>
      <c r="C43" s="6" t="s">
        <v>304</v>
      </c>
      <c r="D43" s="7">
        <v>4084</v>
      </c>
      <c r="E4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269</v>
      </c>
    </row>
    <row r="44" spans="1:5" x14ac:dyDescent="0.3">
      <c r="A44" s="5" t="s">
        <v>512</v>
      </c>
      <c r="B44" s="6">
        <v>24</v>
      </c>
      <c r="C44" s="6" t="s">
        <v>518</v>
      </c>
      <c r="D44" s="7">
        <v>4050</v>
      </c>
      <c r="E4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4050</v>
      </c>
    </row>
    <row r="45" spans="1:5" x14ac:dyDescent="0.3">
      <c r="A45" s="5" t="s">
        <v>512</v>
      </c>
      <c r="B45" s="6">
        <v>24</v>
      </c>
      <c r="C45" s="6" t="s">
        <v>12</v>
      </c>
      <c r="D45" s="7">
        <v>4169</v>
      </c>
      <c r="E4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60</v>
      </c>
    </row>
    <row r="46" spans="1:5" x14ac:dyDescent="0.3">
      <c r="A46" s="5" t="s">
        <v>514</v>
      </c>
      <c r="B46" s="6">
        <v>24</v>
      </c>
      <c r="C46" s="6" t="s">
        <v>13</v>
      </c>
      <c r="D46" s="7">
        <v>4060</v>
      </c>
      <c r="E4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630</v>
      </c>
    </row>
    <row r="47" spans="1:5" x14ac:dyDescent="0.3">
      <c r="A47" s="5" t="s">
        <v>514</v>
      </c>
      <c r="B47" s="6">
        <v>24</v>
      </c>
      <c r="C47" s="6" t="s">
        <v>162</v>
      </c>
      <c r="D47" s="7">
        <v>4106</v>
      </c>
      <c r="E4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51</v>
      </c>
    </row>
    <row r="48" spans="1:5" x14ac:dyDescent="0.3">
      <c r="A48" s="5" t="s">
        <v>514</v>
      </c>
      <c r="B48" s="6">
        <v>24</v>
      </c>
      <c r="C48" s="6" t="s">
        <v>120</v>
      </c>
      <c r="D48" s="7">
        <v>4042</v>
      </c>
      <c r="E4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49" spans="1:5" x14ac:dyDescent="0.3">
      <c r="A49" s="5" t="s">
        <v>514</v>
      </c>
      <c r="B49" s="6">
        <v>24</v>
      </c>
      <c r="C49" s="6" t="s">
        <v>16</v>
      </c>
      <c r="D49" s="7">
        <v>4096</v>
      </c>
      <c r="E4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85</v>
      </c>
    </row>
    <row r="50" spans="1:5" x14ac:dyDescent="0.3">
      <c r="A50" s="5" t="s">
        <v>514</v>
      </c>
      <c r="B50" s="6">
        <v>24</v>
      </c>
      <c r="C50" s="6" t="s">
        <v>20</v>
      </c>
      <c r="D50" s="7">
        <v>4032</v>
      </c>
      <c r="E5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51" spans="1:5" x14ac:dyDescent="0.3">
      <c r="A51" s="5" t="s">
        <v>512</v>
      </c>
      <c r="B51" s="6">
        <v>288</v>
      </c>
      <c r="C51" s="6" t="s">
        <v>485</v>
      </c>
      <c r="D51" s="7">
        <v>2054</v>
      </c>
      <c r="E5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52" spans="1:5" x14ac:dyDescent="0.3">
      <c r="A52" s="5" t="s">
        <v>512</v>
      </c>
      <c r="B52" s="6">
        <v>288</v>
      </c>
      <c r="C52" s="6" t="s">
        <v>519</v>
      </c>
      <c r="D52" s="7">
        <v>2055</v>
      </c>
      <c r="E5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2055</v>
      </c>
    </row>
    <row r="53" spans="1:5" x14ac:dyDescent="0.3">
      <c r="A53" s="5" t="s">
        <v>512</v>
      </c>
      <c r="B53" s="6">
        <v>288</v>
      </c>
      <c r="C53" s="6" t="s">
        <v>520</v>
      </c>
      <c r="D53" s="7">
        <v>2153</v>
      </c>
      <c r="E5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2153</v>
      </c>
    </row>
    <row r="54" spans="1:5" x14ac:dyDescent="0.3">
      <c r="A54" s="5" t="s">
        <v>512</v>
      </c>
      <c r="B54" s="6">
        <v>288</v>
      </c>
      <c r="C54" s="6" t="s">
        <v>415</v>
      </c>
      <c r="D54" s="7">
        <v>1939</v>
      </c>
      <c r="E5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55" spans="1:5" x14ac:dyDescent="0.3">
      <c r="A55" s="5" t="s">
        <v>512</v>
      </c>
      <c r="B55" s="6">
        <v>288</v>
      </c>
      <c r="C55" s="6" t="s">
        <v>424</v>
      </c>
      <c r="D55" s="7">
        <v>2013</v>
      </c>
      <c r="E5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220</v>
      </c>
    </row>
    <row r="56" spans="1:5" x14ac:dyDescent="0.3">
      <c r="A56" s="5" t="s">
        <v>512</v>
      </c>
      <c r="B56" s="6">
        <v>288</v>
      </c>
      <c r="C56" s="6" t="s">
        <v>521</v>
      </c>
      <c r="D56" s="7">
        <v>2003</v>
      </c>
      <c r="E5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2003</v>
      </c>
    </row>
    <row r="57" spans="1:5" x14ac:dyDescent="0.3">
      <c r="A57" s="5" t="s">
        <v>512</v>
      </c>
      <c r="B57" s="6">
        <v>288</v>
      </c>
      <c r="C57" s="6" t="s">
        <v>422</v>
      </c>
      <c r="D57" s="7">
        <v>2013</v>
      </c>
      <c r="E5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58" spans="1:5" x14ac:dyDescent="0.3">
      <c r="A58" s="5" t="s">
        <v>512</v>
      </c>
      <c r="B58" s="6">
        <v>288</v>
      </c>
      <c r="C58" s="6" t="s">
        <v>419</v>
      </c>
      <c r="D58" s="7">
        <v>1990</v>
      </c>
      <c r="E5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499</v>
      </c>
    </row>
    <row r="59" spans="1:5" x14ac:dyDescent="0.3">
      <c r="A59" s="5" t="s">
        <v>512</v>
      </c>
      <c r="B59" s="6">
        <v>288</v>
      </c>
      <c r="C59" s="6" t="s">
        <v>452</v>
      </c>
      <c r="D59" s="7">
        <v>2004</v>
      </c>
      <c r="E5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725</v>
      </c>
    </row>
    <row r="60" spans="1:5" x14ac:dyDescent="0.3">
      <c r="A60" s="5" t="s">
        <v>512</v>
      </c>
      <c r="B60" s="6">
        <v>288</v>
      </c>
      <c r="C60" s="6" t="s">
        <v>487</v>
      </c>
      <c r="D60" s="7">
        <v>1990</v>
      </c>
      <c r="E6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190</v>
      </c>
    </row>
    <row r="61" spans="1:5" x14ac:dyDescent="0.3">
      <c r="A61" s="5" t="s">
        <v>512</v>
      </c>
      <c r="B61" s="6">
        <v>288</v>
      </c>
      <c r="C61" s="6" t="s">
        <v>480</v>
      </c>
      <c r="D61" s="7">
        <v>2004</v>
      </c>
      <c r="E6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62" spans="1:5" x14ac:dyDescent="0.3">
      <c r="A62" s="5" t="s">
        <v>512</v>
      </c>
      <c r="B62" s="6">
        <v>288</v>
      </c>
      <c r="C62" s="6" t="s">
        <v>413</v>
      </c>
      <c r="D62" s="7">
        <v>1980</v>
      </c>
      <c r="E6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1060</v>
      </c>
    </row>
    <row r="63" spans="1:5" x14ac:dyDescent="0.3">
      <c r="A63" s="5" t="s">
        <v>512</v>
      </c>
      <c r="B63" s="6">
        <v>288</v>
      </c>
      <c r="C63" s="6" t="s">
        <v>522</v>
      </c>
      <c r="D63" s="7">
        <v>2014</v>
      </c>
      <c r="E6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2014</v>
      </c>
    </row>
    <row r="64" spans="1:5" x14ac:dyDescent="0.3">
      <c r="A64" s="5" t="s">
        <v>512</v>
      </c>
      <c r="B64" s="6">
        <v>288</v>
      </c>
      <c r="C64" s="6" t="s">
        <v>507</v>
      </c>
      <c r="D64" s="7">
        <v>2016</v>
      </c>
      <c r="E6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740</v>
      </c>
    </row>
    <row r="65" spans="1:5" x14ac:dyDescent="0.3">
      <c r="A65" s="5" t="s">
        <v>512</v>
      </c>
      <c r="B65" s="6">
        <v>288</v>
      </c>
      <c r="C65" s="6" t="s">
        <v>448</v>
      </c>
      <c r="D65" s="7">
        <v>2010</v>
      </c>
      <c r="E6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430</v>
      </c>
    </row>
    <row r="66" spans="1:5" x14ac:dyDescent="0.3">
      <c r="A66" s="5" t="s">
        <v>512</v>
      </c>
      <c r="B66" s="6">
        <v>288</v>
      </c>
      <c r="C66" s="6" t="s">
        <v>523</v>
      </c>
      <c r="D66" s="7">
        <v>2027</v>
      </c>
      <c r="E6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2027</v>
      </c>
    </row>
    <row r="67" spans="1:5" x14ac:dyDescent="0.3">
      <c r="A67" s="5" t="s">
        <v>514</v>
      </c>
      <c r="B67" s="6">
        <v>288</v>
      </c>
      <c r="C67" s="6" t="s">
        <v>421</v>
      </c>
      <c r="D67" s="7">
        <v>2014</v>
      </c>
      <c r="E6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68" spans="1:5" x14ac:dyDescent="0.3">
      <c r="A68" s="5" t="s">
        <v>514</v>
      </c>
      <c r="B68" s="6">
        <v>288</v>
      </c>
      <c r="C68" s="6" t="s">
        <v>478</v>
      </c>
      <c r="D68" s="7">
        <v>2014</v>
      </c>
      <c r="E6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69" spans="1:5" x14ac:dyDescent="0.3">
      <c r="A69" s="5" t="s">
        <v>514</v>
      </c>
      <c r="B69" s="6">
        <v>288</v>
      </c>
      <c r="C69" s="6" t="s">
        <v>498</v>
      </c>
      <c r="D69" s="7">
        <v>2012</v>
      </c>
      <c r="E6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70" spans="1:5" x14ac:dyDescent="0.3">
      <c r="A70" s="5" t="s">
        <v>514</v>
      </c>
      <c r="B70" s="6">
        <v>288</v>
      </c>
      <c r="C70" s="6" t="s">
        <v>441</v>
      </c>
      <c r="D70" s="7">
        <v>2050</v>
      </c>
      <c r="E7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27</v>
      </c>
    </row>
    <row r="71" spans="1:5" x14ac:dyDescent="0.3">
      <c r="A71" s="5" t="s">
        <v>514</v>
      </c>
      <c r="B71" s="6">
        <v>288</v>
      </c>
      <c r="C71" s="6" t="s">
        <v>501</v>
      </c>
      <c r="D71" s="7">
        <v>2000</v>
      </c>
      <c r="E7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72" spans="1:5" x14ac:dyDescent="0.3">
      <c r="A72" s="5" t="s">
        <v>514</v>
      </c>
      <c r="B72" s="6">
        <v>288</v>
      </c>
      <c r="C72" s="6" t="s">
        <v>488</v>
      </c>
      <c r="D72" s="7">
        <v>2000</v>
      </c>
      <c r="E7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73" spans="1:5" x14ac:dyDescent="0.3">
      <c r="A73" s="5" t="s">
        <v>514</v>
      </c>
      <c r="B73" s="6">
        <v>288</v>
      </c>
      <c r="C73" s="6" t="s">
        <v>427</v>
      </c>
      <c r="D73" s="7">
        <v>1905</v>
      </c>
      <c r="E7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300</v>
      </c>
    </row>
    <row r="74" spans="1:5" x14ac:dyDescent="0.3">
      <c r="A74" s="5" t="s">
        <v>512</v>
      </c>
      <c r="B74" s="6">
        <v>24</v>
      </c>
      <c r="C74" s="6" t="s">
        <v>524</v>
      </c>
      <c r="D74" s="7">
        <v>4077</v>
      </c>
      <c r="E7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4077</v>
      </c>
    </row>
    <row r="75" spans="1:5" x14ac:dyDescent="0.3">
      <c r="A75" s="5" t="s">
        <v>512</v>
      </c>
      <c r="B75" s="6">
        <v>24</v>
      </c>
      <c r="C75" s="6" t="s">
        <v>525</v>
      </c>
      <c r="D75" s="7">
        <v>4094</v>
      </c>
      <c r="E7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4094</v>
      </c>
    </row>
    <row r="76" spans="1:5" x14ac:dyDescent="0.3">
      <c r="A76" s="5" t="s">
        <v>512</v>
      </c>
      <c r="B76" s="6">
        <v>24</v>
      </c>
      <c r="C76" s="6" t="s">
        <v>526</v>
      </c>
      <c r="D76" s="7">
        <v>3975</v>
      </c>
      <c r="E7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3975</v>
      </c>
    </row>
    <row r="77" spans="1:5" x14ac:dyDescent="0.3">
      <c r="A77" s="5" t="s">
        <v>512</v>
      </c>
      <c r="B77" s="6">
        <v>24</v>
      </c>
      <c r="C77" s="6" t="s">
        <v>527</v>
      </c>
      <c r="D77" s="7">
        <v>4080</v>
      </c>
      <c r="E7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4080</v>
      </c>
    </row>
    <row r="78" spans="1:5" x14ac:dyDescent="0.3">
      <c r="A78" s="5" t="s">
        <v>512</v>
      </c>
      <c r="B78" s="6">
        <v>24</v>
      </c>
      <c r="C78" s="6" t="s">
        <v>528</v>
      </c>
      <c r="D78" s="7">
        <v>4046</v>
      </c>
      <c r="E7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1915</v>
      </c>
    </row>
    <row r="79" spans="1:5" x14ac:dyDescent="0.3">
      <c r="A79" s="5" t="s">
        <v>512</v>
      </c>
      <c r="B79" s="6">
        <v>24</v>
      </c>
      <c r="C79" s="6" t="s">
        <v>529</v>
      </c>
      <c r="D79" s="7">
        <v>4085</v>
      </c>
      <c r="E7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4085</v>
      </c>
    </row>
    <row r="80" spans="1:5" x14ac:dyDescent="0.3">
      <c r="A80" s="5" t="s">
        <v>512</v>
      </c>
      <c r="B80" s="6">
        <v>24</v>
      </c>
      <c r="C80" s="6" t="s">
        <v>530</v>
      </c>
      <c r="D80" s="7">
        <v>4062</v>
      </c>
      <c r="E8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4062</v>
      </c>
    </row>
    <row r="81" spans="1:5" x14ac:dyDescent="0.3">
      <c r="A81" s="5" t="s">
        <v>512</v>
      </c>
      <c r="B81" s="6">
        <v>24</v>
      </c>
      <c r="C81" s="6" t="s">
        <v>531</v>
      </c>
      <c r="D81" s="7">
        <v>4061</v>
      </c>
      <c r="E8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4061</v>
      </c>
    </row>
    <row r="82" spans="1:5" x14ac:dyDescent="0.3">
      <c r="A82" s="5" t="s">
        <v>512</v>
      </c>
      <c r="B82" s="6">
        <v>288</v>
      </c>
      <c r="C82" s="6" t="s">
        <v>532</v>
      </c>
      <c r="D82" s="7">
        <v>2009</v>
      </c>
      <c r="E8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2009</v>
      </c>
    </row>
    <row r="83" spans="1:5" x14ac:dyDescent="0.3">
      <c r="A83" s="5" t="s">
        <v>512</v>
      </c>
      <c r="B83" s="6">
        <v>288</v>
      </c>
      <c r="C83" s="6" t="s">
        <v>533</v>
      </c>
      <c r="D83" s="7">
        <v>2010</v>
      </c>
      <c r="E8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2010</v>
      </c>
    </row>
    <row r="84" spans="1:5" x14ac:dyDescent="0.3">
      <c r="A84" s="5" t="s">
        <v>512</v>
      </c>
      <c r="B84" s="6">
        <v>288</v>
      </c>
      <c r="C84" s="6" t="s">
        <v>534</v>
      </c>
      <c r="D84" s="7">
        <v>2009</v>
      </c>
      <c r="E8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315</v>
      </c>
    </row>
    <row r="85" spans="1:5" x14ac:dyDescent="0.3">
      <c r="A85" s="5" t="s">
        <v>512</v>
      </c>
      <c r="B85" s="6">
        <v>288</v>
      </c>
      <c r="C85" s="6" t="s">
        <v>535</v>
      </c>
      <c r="D85" s="7">
        <v>2044</v>
      </c>
      <c r="E8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2044</v>
      </c>
    </row>
    <row r="86" spans="1:5" x14ac:dyDescent="0.3">
      <c r="A86" s="5" t="s">
        <v>512</v>
      </c>
      <c r="B86" s="6">
        <v>288</v>
      </c>
      <c r="C86" s="6" t="s">
        <v>536</v>
      </c>
      <c r="D86" s="7">
        <v>2020</v>
      </c>
      <c r="E8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2020</v>
      </c>
    </row>
    <row r="87" spans="1:5" x14ac:dyDescent="0.3">
      <c r="A87" s="5" t="s">
        <v>512</v>
      </c>
      <c r="B87" s="6">
        <v>288</v>
      </c>
      <c r="C87" s="6" t="s">
        <v>537</v>
      </c>
      <c r="D87" s="7">
        <v>2013</v>
      </c>
      <c r="E8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2013</v>
      </c>
    </row>
    <row r="88" spans="1:5" x14ac:dyDescent="0.3">
      <c r="A88" s="5" t="s">
        <v>512</v>
      </c>
      <c r="B88" s="6">
        <v>288</v>
      </c>
      <c r="C88" s="6" t="s">
        <v>538</v>
      </c>
      <c r="D88" s="7">
        <v>2008</v>
      </c>
      <c r="E8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2008</v>
      </c>
    </row>
    <row r="89" spans="1:5" x14ac:dyDescent="0.3">
      <c r="A89" s="5" t="s">
        <v>512</v>
      </c>
      <c r="B89" s="6">
        <v>288</v>
      </c>
      <c r="C89" s="6" t="s">
        <v>539</v>
      </c>
      <c r="D89" s="7">
        <v>2059</v>
      </c>
      <c r="E8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2059</v>
      </c>
    </row>
    <row r="90" spans="1:5" x14ac:dyDescent="0.3">
      <c r="A90" s="5" t="s">
        <v>512</v>
      </c>
      <c r="B90" s="6">
        <v>288</v>
      </c>
      <c r="C90" s="6" t="s">
        <v>540</v>
      </c>
      <c r="D90" s="7">
        <v>2022</v>
      </c>
      <c r="E9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2022</v>
      </c>
    </row>
    <row r="91" spans="1:5" x14ac:dyDescent="0.3">
      <c r="A91" s="5" t="s">
        <v>512</v>
      </c>
      <c r="B91" s="6">
        <v>288</v>
      </c>
      <c r="C91" s="6" t="s">
        <v>541</v>
      </c>
      <c r="D91" s="7">
        <v>2025</v>
      </c>
      <c r="E9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315</v>
      </c>
    </row>
    <row r="92" spans="1:5" x14ac:dyDescent="0.3">
      <c r="A92" s="5" t="s">
        <v>512</v>
      </c>
      <c r="B92" s="6">
        <v>288</v>
      </c>
      <c r="C92" s="6" t="s">
        <v>542</v>
      </c>
      <c r="D92" s="7">
        <v>2024</v>
      </c>
      <c r="E9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2024</v>
      </c>
    </row>
    <row r="93" spans="1:5" x14ac:dyDescent="0.3">
      <c r="A93" s="5" t="s">
        <v>512</v>
      </c>
      <c r="B93" s="6">
        <v>288</v>
      </c>
      <c r="C93" s="6" t="s">
        <v>543</v>
      </c>
      <c r="D93" s="7">
        <v>1991</v>
      </c>
      <c r="E9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1991</v>
      </c>
    </row>
    <row r="94" spans="1:5" x14ac:dyDescent="0.3">
      <c r="A94" s="5" t="s">
        <v>512</v>
      </c>
      <c r="B94" s="6">
        <v>288</v>
      </c>
      <c r="C94" s="6" t="s">
        <v>544</v>
      </c>
      <c r="D94" s="7">
        <v>2032</v>
      </c>
      <c r="E9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2032</v>
      </c>
    </row>
    <row r="95" spans="1:5" x14ac:dyDescent="0.3">
      <c r="A95" s="5" t="s">
        <v>512</v>
      </c>
      <c r="B95" s="6">
        <v>288</v>
      </c>
      <c r="C95" s="6" t="s">
        <v>545</v>
      </c>
      <c r="D95" s="7">
        <v>2025</v>
      </c>
      <c r="E9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2025</v>
      </c>
    </row>
    <row r="96" spans="1:5" x14ac:dyDescent="0.3">
      <c r="A96" s="5" t="s">
        <v>512</v>
      </c>
      <c r="B96" s="6">
        <v>288</v>
      </c>
      <c r="C96" s="6" t="s">
        <v>546</v>
      </c>
      <c r="D96" s="7">
        <v>2024</v>
      </c>
      <c r="E9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2024</v>
      </c>
    </row>
    <row r="97" spans="1:5" x14ac:dyDescent="0.3">
      <c r="A97" s="5" t="s">
        <v>512</v>
      </c>
      <c r="B97" s="6">
        <v>288</v>
      </c>
      <c r="C97" s="6" t="s">
        <v>547</v>
      </c>
      <c r="D97" s="7">
        <v>2058</v>
      </c>
      <c r="E9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2058</v>
      </c>
    </row>
    <row r="98" spans="1:5" x14ac:dyDescent="0.3">
      <c r="A98" s="5" t="s">
        <v>514</v>
      </c>
      <c r="B98" s="6">
        <v>24</v>
      </c>
      <c r="C98" s="6" t="s">
        <v>548</v>
      </c>
      <c r="D98" s="7">
        <v>4088</v>
      </c>
      <c r="E9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4088</v>
      </c>
    </row>
    <row r="99" spans="1:5" x14ac:dyDescent="0.3">
      <c r="A99" s="5" t="s">
        <v>514</v>
      </c>
      <c r="B99" s="6">
        <v>24</v>
      </c>
      <c r="C99" s="6" t="s">
        <v>549</v>
      </c>
      <c r="D99" s="7">
        <v>4090</v>
      </c>
      <c r="E9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4090</v>
      </c>
    </row>
    <row r="100" spans="1:5" x14ac:dyDescent="0.3">
      <c r="A100" s="5" t="s">
        <v>514</v>
      </c>
      <c r="B100" s="6">
        <v>24</v>
      </c>
      <c r="C100" s="6" t="s">
        <v>550</v>
      </c>
      <c r="D100" s="7">
        <v>4059</v>
      </c>
      <c r="E10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4059</v>
      </c>
    </row>
    <row r="101" spans="1:5" x14ac:dyDescent="0.3">
      <c r="A101" s="5" t="s">
        <v>514</v>
      </c>
      <c r="B101" s="6">
        <v>24</v>
      </c>
      <c r="C101" s="6" t="s">
        <v>318</v>
      </c>
      <c r="D101" s="7">
        <v>4129</v>
      </c>
      <c r="E10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2665</v>
      </c>
    </row>
    <row r="102" spans="1:5" x14ac:dyDescent="0.3">
      <c r="A102" s="5" t="s">
        <v>514</v>
      </c>
      <c r="B102" s="6">
        <v>24</v>
      </c>
      <c r="C102" s="6" t="s">
        <v>18</v>
      </c>
      <c r="D102" s="7">
        <v>4156</v>
      </c>
      <c r="E102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95</v>
      </c>
    </row>
    <row r="103" spans="1:5" x14ac:dyDescent="0.3">
      <c r="A103" s="5" t="s">
        <v>514</v>
      </c>
      <c r="B103" s="6">
        <v>288</v>
      </c>
      <c r="C103" s="6" t="s">
        <v>446</v>
      </c>
      <c r="D103" s="7">
        <v>2029</v>
      </c>
      <c r="E103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0</v>
      </c>
    </row>
    <row r="104" spans="1:5" x14ac:dyDescent="0.3">
      <c r="A104" s="5" t="s">
        <v>514</v>
      </c>
      <c r="B104" s="6">
        <v>288</v>
      </c>
      <c r="C104" s="6" t="s">
        <v>505</v>
      </c>
      <c r="D104" s="7">
        <v>2030</v>
      </c>
      <c r="E104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590</v>
      </c>
    </row>
    <row r="105" spans="1:5" x14ac:dyDescent="0.3">
      <c r="A105" s="5" t="s">
        <v>514</v>
      </c>
      <c r="B105" s="6">
        <v>288</v>
      </c>
      <c r="C105" s="6" t="s">
        <v>551</v>
      </c>
      <c r="D105" s="7">
        <v>2028</v>
      </c>
      <c r="E105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2028</v>
      </c>
    </row>
    <row r="106" spans="1:5" x14ac:dyDescent="0.3">
      <c r="A106" s="5" t="s">
        <v>514</v>
      </c>
      <c r="B106" s="6">
        <v>288</v>
      </c>
      <c r="C106" s="6" t="s">
        <v>552</v>
      </c>
      <c r="D106" s="7">
        <v>2050</v>
      </c>
      <c r="E106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2050</v>
      </c>
    </row>
    <row r="107" spans="1:5" x14ac:dyDescent="0.3">
      <c r="A107" s="5" t="s">
        <v>514</v>
      </c>
      <c r="B107" s="6">
        <v>288</v>
      </c>
      <c r="C107" s="6" t="s">
        <v>553</v>
      </c>
      <c r="D107" s="7">
        <v>2025</v>
      </c>
      <c r="E107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2025</v>
      </c>
    </row>
    <row r="108" spans="1:5" x14ac:dyDescent="0.3">
      <c r="A108" s="5" t="s">
        <v>514</v>
      </c>
      <c r="B108" s="6">
        <v>288</v>
      </c>
      <c r="C108" s="6" t="s">
        <v>554</v>
      </c>
      <c r="D108" s="7">
        <v>2024</v>
      </c>
      <c r="E108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2024</v>
      </c>
    </row>
    <row r="109" spans="1:5" x14ac:dyDescent="0.3">
      <c r="A109" s="5" t="s">
        <v>514</v>
      </c>
      <c r="B109" s="6">
        <v>288</v>
      </c>
      <c r="C109" s="6" t="s">
        <v>451</v>
      </c>
      <c r="D109" s="7">
        <v>2067</v>
      </c>
      <c r="E109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640</v>
      </c>
    </row>
    <row r="110" spans="1:5" x14ac:dyDescent="0.3">
      <c r="A110" s="5" t="s">
        <v>514</v>
      </c>
      <c r="B110" s="6">
        <v>288</v>
      </c>
      <c r="C110" s="6" t="s">
        <v>555</v>
      </c>
      <c r="D110" s="7">
        <v>2016</v>
      </c>
      <c r="E110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2016</v>
      </c>
    </row>
    <row r="111" spans="1:5" x14ac:dyDescent="0.3">
      <c r="A111" s="8" t="s">
        <v>514</v>
      </c>
      <c r="B111" s="9">
        <v>288</v>
      </c>
      <c r="C111" s="9" t="s">
        <v>556</v>
      </c>
      <c r="D111" s="10">
        <v>2124</v>
      </c>
      <c r="E111" s="4">
        <f>fo_makara[[#This Row],[UZUNLUK (mt)]] - (
    SUMIF(fo_124[Makara Numarası], fo_makara[[#This Row],[MAKARA NO]], fo_124[Serim(m)]) +
    SUMIF(fo_224[Makara Numarası], fo_makara[[#This Row],[MAKARA NO]], fo_224[Serim(m)]) +
    SUMIF(fo_1288[Makara Numarası], fo_makara[[#This Row],[MAKARA NO]], fo_1288[Serim(m)]) +
    SUMIF(fo_2288[Makara Numarası], fo_makara[[#This Row],[MAKARA NO]], fo_2288[Serim(m)])
)</f>
        <v>2124</v>
      </c>
    </row>
  </sheetData>
  <conditionalFormatting sqref="E1:E1048576">
    <cfRule type="cellIs" dxfId="107" priority="1" operator="between">
      <formula>-1</formula>
      <formula>-100000000</formula>
    </cfRule>
  </conditionalFormatting>
  <pageMargins left="0.7" right="0.7" top="0.75" bottom="0.75" header="0.3" footer="0.3"/>
  <headerFooter>
    <oddHeader>&amp;L&amp;"Aptos"&amp;10&amp;KFF0000 Çok Gizli (Top Secret)&amp;1#_x000D_</oddHeader>
    <oddFooter>&amp;L_x000D_&amp;1#&amp;"Aptos"&amp;10&amp;KFF0000 Çok Gizli (Top Secret)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A2FF-0F05-41BA-82D3-7216C3684DEF}">
  <dimension ref="A1:U74"/>
  <sheetViews>
    <sheetView topLeftCell="E51" zoomScale="67" zoomScaleNormal="132" workbookViewId="0">
      <selection activeCell="M85" sqref="M85"/>
    </sheetView>
  </sheetViews>
  <sheetFormatPr defaultColWidth="22.6640625" defaultRowHeight="14.4" x14ac:dyDescent="0.3"/>
  <cols>
    <col min="1" max="1" width="8.88671875" bestFit="1" customWidth="1"/>
    <col min="2" max="2" width="8.33203125" bestFit="1" customWidth="1"/>
    <col min="3" max="3" width="20.88671875" bestFit="1" customWidth="1"/>
    <col min="4" max="4" width="15.109375" bestFit="1" customWidth="1"/>
    <col min="5" max="5" width="19" bestFit="1" customWidth="1"/>
    <col min="6" max="6" width="12.21875" bestFit="1" customWidth="1"/>
    <col min="7" max="8" width="17.6640625" bestFit="1" customWidth="1"/>
    <col min="9" max="9" width="17.33203125" bestFit="1" customWidth="1"/>
    <col min="10" max="10" width="13.88671875" bestFit="1" customWidth="1"/>
    <col min="11" max="11" width="17.88671875" bestFit="1" customWidth="1"/>
    <col min="12" max="13" width="14.44140625" bestFit="1" customWidth="1"/>
    <col min="14" max="14" width="11" bestFit="1" customWidth="1"/>
    <col min="15" max="15" width="13.6640625" bestFit="1" customWidth="1"/>
    <col min="16" max="16" width="9.5546875" bestFit="1" customWidth="1"/>
    <col min="17" max="17" width="21" bestFit="1" customWidth="1"/>
    <col min="18" max="18" width="11.88671875" bestFit="1" customWidth="1"/>
  </cols>
  <sheetData>
    <row r="1" spans="1:21" x14ac:dyDescent="0.3">
      <c r="A1" s="56" t="s">
        <v>46</v>
      </c>
      <c r="B1" s="57" t="s">
        <v>47</v>
      </c>
      <c r="C1" s="57" t="s">
        <v>48</v>
      </c>
      <c r="D1" s="57" t="s">
        <v>49</v>
      </c>
      <c r="E1" s="57" t="s">
        <v>50</v>
      </c>
      <c r="F1" s="57" t="s">
        <v>51</v>
      </c>
      <c r="G1" s="57" t="s">
        <v>52</v>
      </c>
      <c r="H1" s="57" t="s">
        <v>53</v>
      </c>
      <c r="I1" s="57" t="s">
        <v>54</v>
      </c>
      <c r="J1" s="57" t="s">
        <v>55</v>
      </c>
      <c r="K1" s="57" t="s">
        <v>56</v>
      </c>
      <c r="L1" s="57" t="s">
        <v>57</v>
      </c>
      <c r="M1" s="57" t="s">
        <v>58</v>
      </c>
      <c r="N1" s="57" t="s">
        <v>59</v>
      </c>
      <c r="O1" s="57" t="s">
        <v>60</v>
      </c>
      <c r="P1" s="57" t="s">
        <v>61</v>
      </c>
      <c r="Q1" s="57" t="s">
        <v>62</v>
      </c>
      <c r="R1" s="58" t="s">
        <v>63</v>
      </c>
      <c r="S1" s="57" t="s">
        <v>817</v>
      </c>
      <c r="T1" s="57" t="s">
        <v>818</v>
      </c>
      <c r="U1" s="57" t="s">
        <v>819</v>
      </c>
    </row>
    <row r="2" spans="1:21" x14ac:dyDescent="0.3">
      <c r="A2" s="22">
        <v>45943</v>
      </c>
      <c r="B2" s="23" t="s">
        <v>3</v>
      </c>
      <c r="C2" s="24" t="s">
        <v>64</v>
      </c>
      <c r="D2" s="25" t="s">
        <v>65</v>
      </c>
      <c r="E2" s="25" t="s">
        <v>66</v>
      </c>
      <c r="F2" s="24" t="s">
        <v>67</v>
      </c>
      <c r="G2" s="25" t="s">
        <v>9</v>
      </c>
      <c r="H2" s="25">
        <v>793</v>
      </c>
      <c r="I2" s="25">
        <v>793</v>
      </c>
      <c r="J2" s="25">
        <v>0</v>
      </c>
      <c r="K2" s="25" t="s">
        <v>70</v>
      </c>
      <c r="L2" s="26" t="s">
        <v>71</v>
      </c>
      <c r="M2" s="25" t="s">
        <v>68</v>
      </c>
      <c r="N2" s="25" t="s">
        <v>69</v>
      </c>
      <c r="O2" s="27">
        <v>1</v>
      </c>
      <c r="P2" s="25"/>
      <c r="Q2" s="25">
        <v>0</v>
      </c>
      <c r="R2" s="28">
        <v>793</v>
      </c>
      <c r="S2" s="43" t="str">
        <f>IF(SUMPRODUCT((fo_makara[[#Headers],[MAKARA NO]]=fo_124[[#This Row],[Makara Numarası]])*(fo_makara[[#Headers],[KALAN]]&lt;0))&gt;0,
    "HATA VAR",
    "")</f>
        <v/>
      </c>
      <c r="T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" spans="1:21" x14ac:dyDescent="0.3">
      <c r="A3" s="22">
        <v>45939</v>
      </c>
      <c r="B3" s="23" t="s">
        <v>3</v>
      </c>
      <c r="C3" s="24" t="s">
        <v>72</v>
      </c>
      <c r="D3" s="25" t="s">
        <v>73</v>
      </c>
      <c r="E3" s="25" t="s">
        <v>74</v>
      </c>
      <c r="F3" s="24" t="s">
        <v>67</v>
      </c>
      <c r="G3" s="25" t="s">
        <v>75</v>
      </c>
      <c r="H3" s="25">
        <v>3286</v>
      </c>
      <c r="I3" s="25">
        <v>3286</v>
      </c>
      <c r="J3" s="25">
        <v>2500</v>
      </c>
      <c r="K3" s="25" t="s">
        <v>78</v>
      </c>
      <c r="L3" s="26" t="s">
        <v>69</v>
      </c>
      <c r="M3" s="25" t="s">
        <v>76</v>
      </c>
      <c r="N3" s="26" t="s">
        <v>77</v>
      </c>
      <c r="O3" s="27">
        <v>1</v>
      </c>
      <c r="P3" s="26"/>
      <c r="Q3" s="25">
        <v>2500</v>
      </c>
      <c r="R3" s="28">
        <v>786</v>
      </c>
      <c r="S3" s="43" t="str">
        <f>IF(SUMPRODUCT((fo_makara[[#Headers],[MAKARA NO]]=fo_124[[#This Row],[Makara Numarası]])*(fo_makara[[#Headers],[KALAN]]&lt;0))&gt;0,
    "HATA VAR",
    "")</f>
        <v/>
      </c>
      <c r="T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" spans="1:21" x14ac:dyDescent="0.3">
      <c r="A4" s="22">
        <v>45939</v>
      </c>
      <c r="B4" s="23" t="s">
        <v>3</v>
      </c>
      <c r="C4" s="24" t="s">
        <v>79</v>
      </c>
      <c r="D4" s="25" t="s">
        <v>80</v>
      </c>
      <c r="E4" s="25" t="s">
        <v>81</v>
      </c>
      <c r="F4" s="24" t="s">
        <v>67</v>
      </c>
      <c r="G4" s="25" t="s">
        <v>75</v>
      </c>
      <c r="H4" s="25">
        <v>4080</v>
      </c>
      <c r="I4" s="25">
        <v>4080</v>
      </c>
      <c r="J4" s="25">
        <v>3286</v>
      </c>
      <c r="K4" s="25" t="s">
        <v>76</v>
      </c>
      <c r="L4" s="26" t="s">
        <v>77</v>
      </c>
      <c r="M4" s="25" t="s">
        <v>82</v>
      </c>
      <c r="N4" s="26" t="s">
        <v>83</v>
      </c>
      <c r="O4" s="27">
        <v>1</v>
      </c>
      <c r="P4" s="25"/>
      <c r="Q4" s="25">
        <v>3286</v>
      </c>
      <c r="R4" s="28">
        <v>794</v>
      </c>
      <c r="S4" s="43" t="str">
        <f>IF(SUMPRODUCT((fo_makara[[#Headers],[MAKARA NO]]=fo_124[[#This Row],[Makara Numarası]])*(fo_makara[[#Headers],[KALAN]]&lt;0))&gt;0,
    "HATA VAR",
    "")</f>
        <v/>
      </c>
      <c r="T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" spans="1:21" x14ac:dyDescent="0.3">
      <c r="A5" s="22">
        <v>45938</v>
      </c>
      <c r="B5" s="23" t="s">
        <v>3</v>
      </c>
      <c r="C5" s="24" t="s">
        <v>84</v>
      </c>
      <c r="D5" s="25" t="s">
        <v>85</v>
      </c>
      <c r="E5" s="25" t="s">
        <v>86</v>
      </c>
      <c r="F5" s="24" t="s">
        <v>67</v>
      </c>
      <c r="G5" s="25" t="s">
        <v>87</v>
      </c>
      <c r="H5" s="25">
        <v>1274</v>
      </c>
      <c r="I5" s="25">
        <v>1274</v>
      </c>
      <c r="J5" s="25">
        <v>0</v>
      </c>
      <c r="K5" s="25" t="s">
        <v>90</v>
      </c>
      <c r="L5" s="26" t="s">
        <v>83</v>
      </c>
      <c r="M5" s="25" t="s">
        <v>88</v>
      </c>
      <c r="N5" s="26" t="s">
        <v>89</v>
      </c>
      <c r="O5" s="27">
        <v>1</v>
      </c>
      <c r="P5" s="26"/>
      <c r="Q5" s="25">
        <v>0</v>
      </c>
      <c r="R5" s="28">
        <v>1274</v>
      </c>
      <c r="S5" s="43" t="str">
        <f>IF(SUMPRODUCT((fo_makara[[#Headers],[MAKARA NO]]=fo_124[[#This Row],[Makara Numarası]])*(fo_makara[[#Headers],[KALAN]]&lt;0))&gt;0,
    "HATA VAR",
    "")</f>
        <v/>
      </c>
      <c r="T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" spans="1:21" x14ac:dyDescent="0.3">
      <c r="A6" s="22">
        <v>45938</v>
      </c>
      <c r="B6" s="23" t="s">
        <v>3</v>
      </c>
      <c r="C6" s="24" t="s">
        <v>91</v>
      </c>
      <c r="D6" s="25" t="s">
        <v>92</v>
      </c>
      <c r="E6" s="25" t="s">
        <v>93</v>
      </c>
      <c r="F6" s="24" t="s">
        <v>67</v>
      </c>
      <c r="G6" s="25" t="s">
        <v>87</v>
      </c>
      <c r="H6" s="25">
        <v>2093</v>
      </c>
      <c r="I6" s="25">
        <v>2093</v>
      </c>
      <c r="J6" s="25">
        <v>1274</v>
      </c>
      <c r="K6" s="25" t="s">
        <v>90</v>
      </c>
      <c r="L6" s="26" t="s">
        <v>89</v>
      </c>
      <c r="M6" s="25" t="s">
        <v>94</v>
      </c>
      <c r="N6" s="26" t="s">
        <v>95</v>
      </c>
      <c r="O6" s="27">
        <v>1</v>
      </c>
      <c r="P6" s="26"/>
      <c r="Q6" s="25">
        <v>1274</v>
      </c>
      <c r="R6" s="28">
        <v>819</v>
      </c>
      <c r="S6" s="43" t="str">
        <f>IF(SUMPRODUCT((fo_makara[[#Headers],[MAKARA NO]]=fo_124[[#This Row],[Makara Numarası]])*(fo_makara[[#Headers],[KALAN]]&lt;0))&gt;0,
    "HATA VAR",
    "")</f>
        <v/>
      </c>
      <c r="T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7" spans="1:21" x14ac:dyDescent="0.3">
      <c r="A7" s="22">
        <v>45938</v>
      </c>
      <c r="B7" s="23" t="s">
        <v>3</v>
      </c>
      <c r="C7" s="24" t="s">
        <v>96</v>
      </c>
      <c r="D7" s="25" t="s">
        <v>97</v>
      </c>
      <c r="E7" s="25" t="s">
        <v>98</v>
      </c>
      <c r="F7" s="24" t="s">
        <v>67</v>
      </c>
      <c r="G7" s="25" t="s">
        <v>87</v>
      </c>
      <c r="H7" s="25">
        <v>2745</v>
      </c>
      <c r="I7" s="25">
        <v>2745</v>
      </c>
      <c r="J7" s="25">
        <v>2093</v>
      </c>
      <c r="K7" s="25" t="s">
        <v>101</v>
      </c>
      <c r="L7" s="26" t="s">
        <v>95</v>
      </c>
      <c r="M7" s="25" t="s">
        <v>99</v>
      </c>
      <c r="N7" s="26" t="s">
        <v>100</v>
      </c>
      <c r="O7" s="27">
        <v>1</v>
      </c>
      <c r="P7" s="25"/>
      <c r="Q7" s="25">
        <v>2093</v>
      </c>
      <c r="R7" s="28">
        <v>648</v>
      </c>
      <c r="S7" s="43" t="str">
        <f>IF(SUMPRODUCT((fo_makara[[#Headers],[MAKARA NO]]=fo_124[[#This Row],[Makara Numarası]])*(fo_makara[[#Headers],[KALAN]]&lt;0))&gt;0,
    "HATA VAR",
    "")</f>
        <v/>
      </c>
      <c r="T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8" spans="1:21" x14ac:dyDescent="0.3">
      <c r="A8" s="22">
        <v>45938</v>
      </c>
      <c r="B8" s="23" t="s">
        <v>3</v>
      </c>
      <c r="C8" s="24" t="s">
        <v>102</v>
      </c>
      <c r="D8" s="25" t="s">
        <v>103</v>
      </c>
      <c r="E8" s="25" t="s">
        <v>97</v>
      </c>
      <c r="F8" s="24" t="s">
        <v>67</v>
      </c>
      <c r="G8" s="25" t="s">
        <v>87</v>
      </c>
      <c r="H8" s="25">
        <v>4048</v>
      </c>
      <c r="I8" s="25">
        <v>4051</v>
      </c>
      <c r="J8" s="25">
        <v>2745</v>
      </c>
      <c r="K8" s="25" t="s">
        <v>105</v>
      </c>
      <c r="L8" s="25" t="s">
        <v>100</v>
      </c>
      <c r="M8" s="25" t="s">
        <v>104</v>
      </c>
      <c r="N8" s="26" t="s">
        <v>4</v>
      </c>
      <c r="O8" s="27">
        <v>1</v>
      </c>
      <c r="P8" s="26"/>
      <c r="Q8" s="25">
        <v>2745</v>
      </c>
      <c r="R8" s="28">
        <v>1306</v>
      </c>
      <c r="S8" s="43" t="str">
        <f>IF(SUMPRODUCT((fo_makara[[#Headers],[MAKARA NO]]=fo_124[[#This Row],[Makara Numarası]])*(fo_makara[[#Headers],[KALAN]]&lt;0))&gt;0,
    "HATA VAR",
    "")</f>
        <v/>
      </c>
      <c r="T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9" spans="1:21" x14ac:dyDescent="0.3">
      <c r="A9" s="22">
        <v>45943</v>
      </c>
      <c r="B9" s="23" t="s">
        <v>3</v>
      </c>
      <c r="C9" s="24" t="s">
        <v>106</v>
      </c>
      <c r="D9" s="25" t="s">
        <v>107</v>
      </c>
      <c r="E9" s="25" t="s">
        <v>108</v>
      </c>
      <c r="F9" s="24" t="s">
        <v>67</v>
      </c>
      <c r="G9" s="25" t="s">
        <v>9</v>
      </c>
      <c r="H9" s="25">
        <v>1487</v>
      </c>
      <c r="I9" s="25">
        <v>1487</v>
      </c>
      <c r="J9" s="25">
        <v>793</v>
      </c>
      <c r="K9" s="25" t="s">
        <v>111</v>
      </c>
      <c r="L9" s="26" t="s">
        <v>4</v>
      </c>
      <c r="M9" s="25" t="s">
        <v>109</v>
      </c>
      <c r="N9" s="25" t="s">
        <v>110</v>
      </c>
      <c r="O9" s="27">
        <v>1</v>
      </c>
      <c r="P9" s="25"/>
      <c r="Q9" s="25">
        <v>793</v>
      </c>
      <c r="R9" s="28">
        <v>694</v>
      </c>
      <c r="S9" s="43" t="str">
        <f>IF(SUMPRODUCT((fo_makara[[#Headers],[MAKARA NO]]=fo_124[[#This Row],[Makara Numarası]])*(fo_makara[[#Headers],[KALAN]]&lt;0))&gt;0,
    "HATA VAR",
    "")</f>
        <v/>
      </c>
      <c r="T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0" spans="1:21" x14ac:dyDescent="0.3">
      <c r="A10" s="22">
        <v>45943</v>
      </c>
      <c r="B10" s="23" t="s">
        <v>3</v>
      </c>
      <c r="C10" s="24" t="s">
        <v>112</v>
      </c>
      <c r="D10" s="25" t="s">
        <v>113</v>
      </c>
      <c r="E10" s="25" t="s">
        <v>107</v>
      </c>
      <c r="F10" s="24" t="s">
        <v>67</v>
      </c>
      <c r="G10" s="25" t="s">
        <v>9</v>
      </c>
      <c r="H10" s="25">
        <v>2130</v>
      </c>
      <c r="I10" s="25">
        <v>2130</v>
      </c>
      <c r="J10" s="25">
        <v>1487</v>
      </c>
      <c r="K10" s="25" t="s">
        <v>109</v>
      </c>
      <c r="L10" s="26" t="s">
        <v>110</v>
      </c>
      <c r="M10" s="25" t="s">
        <v>114</v>
      </c>
      <c r="N10" s="25" t="s">
        <v>115</v>
      </c>
      <c r="O10" s="27">
        <v>1</v>
      </c>
      <c r="P10" s="25"/>
      <c r="Q10" s="25">
        <v>1487</v>
      </c>
      <c r="R10" s="28">
        <v>643</v>
      </c>
      <c r="S10" s="43" t="str">
        <f>IF(SUMPRODUCT((fo_makara[[#Headers],[MAKARA NO]]=fo_124[[#This Row],[Makara Numarası]])*(fo_makara[[#Headers],[KALAN]]&lt;0))&gt;0,
    "HATA VAR",
    "")</f>
        <v/>
      </c>
      <c r="T1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1" spans="1:21" x14ac:dyDescent="0.3">
      <c r="A11" s="22">
        <v>45941</v>
      </c>
      <c r="B11" s="23" t="s">
        <v>3</v>
      </c>
      <c r="C11" s="24" t="s">
        <v>123</v>
      </c>
      <c r="D11" s="25" t="s">
        <v>124</v>
      </c>
      <c r="E11" s="25" t="s">
        <v>125</v>
      </c>
      <c r="F11" s="24" t="s">
        <v>67</v>
      </c>
      <c r="G11" s="25" t="s">
        <v>9</v>
      </c>
      <c r="H11" s="25">
        <v>2450</v>
      </c>
      <c r="I11" s="25">
        <v>2450</v>
      </c>
      <c r="J11" s="25">
        <v>2130</v>
      </c>
      <c r="K11" s="26" t="s">
        <v>125</v>
      </c>
      <c r="L11" s="26" t="s">
        <v>115</v>
      </c>
      <c r="M11" s="25" t="s">
        <v>124</v>
      </c>
      <c r="N11" s="26" t="s">
        <v>126</v>
      </c>
      <c r="O11" s="27">
        <v>1</v>
      </c>
      <c r="P11" s="25"/>
      <c r="Q11" s="25">
        <v>2130</v>
      </c>
      <c r="R11" s="28">
        <v>320</v>
      </c>
      <c r="S11" s="43" t="str">
        <f>IF(SUMPRODUCT((fo_makara[[#Headers],[MAKARA NO]]=fo_124[[#This Row],[Makara Numarası]])*(fo_makara[[#Headers],[KALAN]]&lt;0))&gt;0,
    "HATA VAR",
    "")</f>
        <v/>
      </c>
      <c r="T11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1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2" spans="1:21" x14ac:dyDescent="0.3">
      <c r="A12" s="22">
        <v>45961</v>
      </c>
      <c r="B12" s="23" t="s">
        <v>7</v>
      </c>
      <c r="C12" s="29" t="s">
        <v>116</v>
      </c>
      <c r="D12" s="29" t="s">
        <v>117</v>
      </c>
      <c r="E12" s="29" t="s">
        <v>118</v>
      </c>
      <c r="F12" s="24" t="s">
        <v>119</v>
      </c>
      <c r="G12" s="29" t="s">
        <v>120</v>
      </c>
      <c r="H12" s="29">
        <v>170</v>
      </c>
      <c r="I12" s="29">
        <v>170</v>
      </c>
      <c r="J12" s="29">
        <v>0</v>
      </c>
      <c r="K12" s="29" t="s">
        <v>117</v>
      </c>
      <c r="L12" s="29" t="s">
        <v>121</v>
      </c>
      <c r="M12" s="29" t="s">
        <v>118</v>
      </c>
      <c r="N12" s="29" t="s">
        <v>122</v>
      </c>
      <c r="O12" s="30">
        <v>1</v>
      </c>
      <c r="P12" s="25"/>
      <c r="Q12" s="29">
        <v>0</v>
      </c>
      <c r="R12" s="31">
        <v>170</v>
      </c>
      <c r="S12" s="43" t="str">
        <f>IF(SUMPRODUCT((fo_makara[[#Headers],[MAKARA NO]]=fo_124[[#This Row],[Makara Numarası]])*(fo_makara[[#Headers],[KALAN]]&lt;0))&gt;0,
    "HATA VAR",
    "")</f>
        <v/>
      </c>
      <c r="T1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3" spans="1:21" x14ac:dyDescent="0.3">
      <c r="A13" s="22">
        <v>45945</v>
      </c>
      <c r="B13" s="23" t="s">
        <v>3</v>
      </c>
      <c r="C13" s="29" t="s">
        <v>127</v>
      </c>
      <c r="D13" s="29" t="s">
        <v>128</v>
      </c>
      <c r="E13" s="29" t="s">
        <v>129</v>
      </c>
      <c r="F13" s="24" t="s">
        <v>119</v>
      </c>
      <c r="G13" s="29" t="s">
        <v>10</v>
      </c>
      <c r="H13" s="29">
        <v>4102</v>
      </c>
      <c r="I13" s="29">
        <v>4102</v>
      </c>
      <c r="J13" s="29">
        <v>2905</v>
      </c>
      <c r="K13" s="29" t="s">
        <v>118</v>
      </c>
      <c r="L13" s="29" t="s">
        <v>122</v>
      </c>
      <c r="M13" s="29" t="s">
        <v>130</v>
      </c>
      <c r="N13" s="29" t="s">
        <v>131</v>
      </c>
      <c r="O13" s="30">
        <v>1</v>
      </c>
      <c r="P13" s="25"/>
      <c r="Q13" s="29">
        <v>2905</v>
      </c>
      <c r="R13" s="31">
        <v>1197</v>
      </c>
      <c r="S13" s="43" t="str">
        <f>IF(SUMPRODUCT((fo_makara[[#Headers],[MAKARA NO]]=fo_124[[#This Row],[Makara Numarası]])*(fo_makara[[#Headers],[KALAN]]&lt;0))&gt;0,
    "HATA VAR",
    "")</f>
        <v/>
      </c>
      <c r="T1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4" spans="1:21" x14ac:dyDescent="0.3">
      <c r="A14" s="22">
        <v>45945</v>
      </c>
      <c r="B14" s="23" t="s">
        <v>3</v>
      </c>
      <c r="C14" s="29" t="s">
        <v>132</v>
      </c>
      <c r="D14" s="29" t="s">
        <v>129</v>
      </c>
      <c r="E14" s="29" t="s">
        <v>133</v>
      </c>
      <c r="F14" s="24" t="s">
        <v>119</v>
      </c>
      <c r="G14" s="29" t="s">
        <v>10</v>
      </c>
      <c r="H14" s="29">
        <v>2905</v>
      </c>
      <c r="I14" s="29">
        <v>2905</v>
      </c>
      <c r="J14" s="29">
        <v>1995</v>
      </c>
      <c r="K14" s="29" t="s">
        <v>130</v>
      </c>
      <c r="L14" s="29" t="s">
        <v>131</v>
      </c>
      <c r="M14" s="29" t="s">
        <v>134</v>
      </c>
      <c r="N14" s="29" t="s">
        <v>135</v>
      </c>
      <c r="O14" s="30">
        <v>1</v>
      </c>
      <c r="P14" s="25"/>
      <c r="Q14" s="29">
        <v>1995</v>
      </c>
      <c r="R14" s="31">
        <v>910</v>
      </c>
      <c r="S14" s="43" t="str">
        <f>IF(SUMPRODUCT((fo_makara[[#Headers],[MAKARA NO]]=fo_124[[#This Row],[Makara Numarası]])*(fo_makara[[#Headers],[KALAN]]&lt;0))&gt;0,
    "HATA VAR",
    "")</f>
        <v/>
      </c>
      <c r="T1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5" spans="1:21" x14ac:dyDescent="0.3">
      <c r="A15" s="22">
        <v>45945</v>
      </c>
      <c r="B15" s="23" t="s">
        <v>3</v>
      </c>
      <c r="C15" s="29" t="s">
        <v>136</v>
      </c>
      <c r="D15" s="29" t="s">
        <v>133</v>
      </c>
      <c r="E15" s="29" t="s">
        <v>137</v>
      </c>
      <c r="F15" s="24" t="s">
        <v>119</v>
      </c>
      <c r="G15" s="29" t="s">
        <v>10</v>
      </c>
      <c r="H15" s="29">
        <v>1995</v>
      </c>
      <c r="I15" s="29">
        <v>1995</v>
      </c>
      <c r="J15" s="29">
        <v>1410</v>
      </c>
      <c r="K15" s="29" t="s">
        <v>138</v>
      </c>
      <c r="L15" s="29" t="s">
        <v>135</v>
      </c>
      <c r="M15" s="29" t="s">
        <v>139</v>
      </c>
      <c r="N15" s="29" t="s">
        <v>140</v>
      </c>
      <c r="O15" s="30">
        <v>1</v>
      </c>
      <c r="P15" s="25"/>
      <c r="Q15" s="29">
        <v>1410</v>
      </c>
      <c r="R15" s="31">
        <v>585</v>
      </c>
      <c r="S15" s="43" t="str">
        <f>IF(SUMPRODUCT((fo_makara[[#Headers],[MAKARA NO]]=fo_124[[#This Row],[Makara Numarası]])*(fo_makara[[#Headers],[KALAN]]&lt;0))&gt;0,
    "HATA VAR",
    "")</f>
        <v/>
      </c>
      <c r="T1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6" spans="1:21" x14ac:dyDescent="0.3">
      <c r="A16" s="22">
        <v>45945</v>
      </c>
      <c r="B16" s="23" t="s">
        <v>3</v>
      </c>
      <c r="C16" s="29" t="s">
        <v>141</v>
      </c>
      <c r="D16" s="29" t="s">
        <v>137</v>
      </c>
      <c r="E16" s="29" t="s">
        <v>142</v>
      </c>
      <c r="F16" s="24" t="s">
        <v>119</v>
      </c>
      <c r="G16" s="29" t="s">
        <v>120</v>
      </c>
      <c r="H16" s="29">
        <v>4042</v>
      </c>
      <c r="I16" s="29">
        <v>4042</v>
      </c>
      <c r="J16" s="29">
        <v>2480</v>
      </c>
      <c r="K16" s="29" t="s">
        <v>139</v>
      </c>
      <c r="L16" s="29" t="s">
        <v>140</v>
      </c>
      <c r="M16" s="29" t="s">
        <v>143</v>
      </c>
      <c r="N16" s="29" t="s">
        <v>148</v>
      </c>
      <c r="O16" s="30">
        <v>1</v>
      </c>
      <c r="P16" s="25"/>
      <c r="Q16" s="29">
        <v>2480</v>
      </c>
      <c r="R16" s="31">
        <v>1562</v>
      </c>
      <c r="S16" s="43" t="str">
        <f>IF(SUMPRODUCT((fo_makara[[#Headers],[MAKARA NO]]=fo_124[[#This Row],[Makara Numarası]])*(fo_makara[[#Headers],[KALAN]]&lt;0))&gt;0,
    "HATA VAR",
    "")</f>
        <v/>
      </c>
      <c r="T1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7" spans="1:21" x14ac:dyDescent="0.3">
      <c r="A17" s="22">
        <v>45950</v>
      </c>
      <c r="B17" s="23" t="s">
        <v>5</v>
      </c>
      <c r="C17" s="29" t="s">
        <v>144</v>
      </c>
      <c r="D17" s="29" t="s">
        <v>145</v>
      </c>
      <c r="E17" s="29" t="s">
        <v>146</v>
      </c>
      <c r="F17" s="24" t="s">
        <v>119</v>
      </c>
      <c r="G17" s="29" t="s">
        <v>120</v>
      </c>
      <c r="H17" s="29">
        <v>2480</v>
      </c>
      <c r="I17" s="29">
        <v>2480</v>
      </c>
      <c r="J17" s="29">
        <v>1935</v>
      </c>
      <c r="K17" s="29" t="s">
        <v>147</v>
      </c>
      <c r="L17" s="29" t="s">
        <v>148</v>
      </c>
      <c r="M17" s="29" t="s">
        <v>149</v>
      </c>
      <c r="N17" s="29" t="s">
        <v>150</v>
      </c>
      <c r="O17" s="30">
        <v>1</v>
      </c>
      <c r="P17" s="25"/>
      <c r="Q17" s="29">
        <v>1935</v>
      </c>
      <c r="R17" s="31">
        <v>545</v>
      </c>
      <c r="S17" s="43" t="str">
        <f>IF(SUMPRODUCT((fo_makara[[#Headers],[MAKARA NO]]=fo_124[[#This Row],[Makara Numarası]])*(fo_makara[[#Headers],[KALAN]]&lt;0))&gt;0,
    "HATA VAR",
    "")</f>
        <v/>
      </c>
      <c r="T1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8" spans="1:21" x14ac:dyDescent="0.3">
      <c r="A18" s="22">
        <v>45950</v>
      </c>
      <c r="B18" s="23" t="s">
        <v>5</v>
      </c>
      <c r="C18" s="29" t="s">
        <v>151</v>
      </c>
      <c r="D18" s="29" t="s">
        <v>146</v>
      </c>
      <c r="E18" s="29" t="s">
        <v>152</v>
      </c>
      <c r="F18" s="24" t="s">
        <v>119</v>
      </c>
      <c r="G18" s="29" t="s">
        <v>120</v>
      </c>
      <c r="H18" s="29">
        <v>1935</v>
      </c>
      <c r="I18" s="29">
        <v>1935</v>
      </c>
      <c r="J18" s="29">
        <v>1200</v>
      </c>
      <c r="K18" s="29" t="s">
        <v>149</v>
      </c>
      <c r="L18" s="29" t="s">
        <v>150</v>
      </c>
      <c r="M18" s="29" t="s">
        <v>153</v>
      </c>
      <c r="N18" s="29" t="s">
        <v>154</v>
      </c>
      <c r="O18" s="30">
        <v>1</v>
      </c>
      <c r="P18" s="25"/>
      <c r="Q18" s="29">
        <v>1200</v>
      </c>
      <c r="R18" s="31">
        <v>735</v>
      </c>
      <c r="S18" s="43" t="str">
        <f>IF(SUMPRODUCT((fo_makara[[#Headers],[MAKARA NO]]=fo_124[[#This Row],[Makara Numarası]])*(fo_makara[[#Headers],[KALAN]]&lt;0))&gt;0,
    "HATA VAR",
    "")</f>
        <v/>
      </c>
      <c r="T1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19" spans="1:21" x14ac:dyDescent="0.3">
      <c r="A19" s="22">
        <v>45950</v>
      </c>
      <c r="B19" s="23" t="s">
        <v>5</v>
      </c>
      <c r="C19" s="29" t="s">
        <v>155</v>
      </c>
      <c r="D19" s="29" t="s">
        <v>152</v>
      </c>
      <c r="E19" s="29" t="s">
        <v>156</v>
      </c>
      <c r="F19" s="24" t="s">
        <v>119</v>
      </c>
      <c r="G19" s="29" t="s">
        <v>120</v>
      </c>
      <c r="H19" s="29">
        <v>1200</v>
      </c>
      <c r="I19" s="29">
        <v>1200</v>
      </c>
      <c r="J19" s="29">
        <v>170</v>
      </c>
      <c r="K19" s="29" t="s">
        <v>157</v>
      </c>
      <c r="L19" s="29" t="s">
        <v>154</v>
      </c>
      <c r="M19" s="29" t="s">
        <v>158</v>
      </c>
      <c r="N19" s="29" t="s">
        <v>173</v>
      </c>
      <c r="O19" s="30">
        <v>1</v>
      </c>
      <c r="P19" s="25"/>
      <c r="Q19" s="29">
        <v>170</v>
      </c>
      <c r="R19" s="31">
        <v>1030</v>
      </c>
      <c r="S19" s="43" t="str">
        <f>IF(SUMPRODUCT((fo_makara[[#Headers],[MAKARA NO]]=fo_124[[#This Row],[Makara Numarası]])*(fo_makara[[#Headers],[KALAN]]&lt;0))&gt;0,
    "HATA VAR",
    "")</f>
        <v/>
      </c>
      <c r="T1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1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0" spans="1:21" x14ac:dyDescent="0.3">
      <c r="A20" s="22">
        <v>45950</v>
      </c>
      <c r="B20" s="23" t="s">
        <v>5</v>
      </c>
      <c r="C20" s="29" t="s">
        <v>171</v>
      </c>
      <c r="D20" s="29" t="s">
        <v>168</v>
      </c>
      <c r="E20" s="29" t="s">
        <v>172</v>
      </c>
      <c r="F20" s="24" t="s">
        <v>119</v>
      </c>
      <c r="G20" s="29" t="s">
        <v>162</v>
      </c>
      <c r="H20" s="29">
        <v>2460</v>
      </c>
      <c r="I20" s="29">
        <v>2460</v>
      </c>
      <c r="J20" s="29">
        <v>2070</v>
      </c>
      <c r="K20" s="29" t="s">
        <v>158</v>
      </c>
      <c r="L20" s="29" t="s">
        <v>173</v>
      </c>
      <c r="M20" s="29" t="s">
        <v>169</v>
      </c>
      <c r="N20" s="29" t="s">
        <v>170</v>
      </c>
      <c r="O20" s="30">
        <v>1</v>
      </c>
      <c r="P20" s="25"/>
      <c r="Q20" s="29">
        <v>2070</v>
      </c>
      <c r="R20" s="31">
        <v>390</v>
      </c>
      <c r="S20" s="43" t="str">
        <f>IF(SUMPRODUCT((fo_makara[[#Headers],[MAKARA NO]]=fo_124[[#This Row],[Makara Numarası]])*(fo_makara[[#Headers],[KALAN]]&lt;0))&gt;0,
    "HATA VAR",
    "")</f>
        <v/>
      </c>
      <c r="T2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1" spans="1:21" x14ac:dyDescent="0.3">
      <c r="A21" s="22">
        <v>45950</v>
      </c>
      <c r="B21" s="23" t="s">
        <v>5</v>
      </c>
      <c r="C21" s="29" t="s">
        <v>167</v>
      </c>
      <c r="D21" s="29" t="s">
        <v>161</v>
      </c>
      <c r="E21" s="29" t="s">
        <v>168</v>
      </c>
      <c r="F21" s="24" t="s">
        <v>119</v>
      </c>
      <c r="G21" s="29" t="s">
        <v>162</v>
      </c>
      <c r="H21" s="29">
        <v>3260</v>
      </c>
      <c r="I21" s="29">
        <v>3260</v>
      </c>
      <c r="J21" s="29">
        <v>2460</v>
      </c>
      <c r="K21" s="29" t="s">
        <v>169</v>
      </c>
      <c r="L21" s="29" t="s">
        <v>170</v>
      </c>
      <c r="M21" s="29" t="s">
        <v>165</v>
      </c>
      <c r="N21" s="29" t="s">
        <v>166</v>
      </c>
      <c r="O21" s="30">
        <v>1</v>
      </c>
      <c r="P21" s="25"/>
      <c r="Q21" s="29">
        <v>2460</v>
      </c>
      <c r="R21" s="31">
        <v>800</v>
      </c>
      <c r="S21" s="43" t="str">
        <f>IF(SUMPRODUCT((fo_makara[[#Headers],[MAKARA NO]]=fo_124[[#This Row],[Makara Numarası]])*(fo_makara[[#Headers],[KALAN]]&lt;0))&gt;0,
    "HATA VAR",
    "")</f>
        <v/>
      </c>
      <c r="T21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1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2" spans="1:21" x14ac:dyDescent="0.3">
      <c r="A22" s="22">
        <v>45950</v>
      </c>
      <c r="B22" s="23" t="s">
        <v>5</v>
      </c>
      <c r="C22" s="29" t="s">
        <v>159</v>
      </c>
      <c r="D22" s="29" t="s">
        <v>160</v>
      </c>
      <c r="E22" s="29" t="s">
        <v>161</v>
      </c>
      <c r="F22" s="24" t="s">
        <v>119</v>
      </c>
      <c r="G22" s="29" t="s">
        <v>162</v>
      </c>
      <c r="H22" s="29">
        <v>4105</v>
      </c>
      <c r="I22" s="29">
        <v>4105</v>
      </c>
      <c r="J22" s="29">
        <v>3260</v>
      </c>
      <c r="K22" s="29" t="s">
        <v>165</v>
      </c>
      <c r="L22" s="29" t="s">
        <v>166</v>
      </c>
      <c r="M22" s="29" t="s">
        <v>163</v>
      </c>
      <c r="N22" s="29" t="s">
        <v>164</v>
      </c>
      <c r="O22" s="30">
        <v>1</v>
      </c>
      <c r="P22" s="25"/>
      <c r="Q22" s="29">
        <v>3260</v>
      </c>
      <c r="R22" s="31">
        <v>845</v>
      </c>
      <c r="S22" s="43" t="str">
        <f>IF(SUMPRODUCT((fo_makara[[#Headers],[MAKARA NO]]=fo_124[[#This Row],[Makara Numarası]])*(fo_makara[[#Headers],[KALAN]]&lt;0))&gt;0,
    "HATA VAR",
    "")</f>
        <v/>
      </c>
      <c r="T2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3" spans="1:21" x14ac:dyDescent="0.3">
      <c r="A23" s="22">
        <v>45951</v>
      </c>
      <c r="B23" s="23" t="s">
        <v>5</v>
      </c>
      <c r="C23" s="29" t="s">
        <v>174</v>
      </c>
      <c r="D23" s="29" t="s">
        <v>160</v>
      </c>
      <c r="E23" s="29" t="s">
        <v>175</v>
      </c>
      <c r="F23" s="24" t="s">
        <v>67</v>
      </c>
      <c r="G23" s="29" t="s">
        <v>11</v>
      </c>
      <c r="H23" s="29">
        <v>3580</v>
      </c>
      <c r="I23" s="29">
        <v>3580</v>
      </c>
      <c r="J23" s="29">
        <v>3285</v>
      </c>
      <c r="K23" s="29" t="s">
        <v>163</v>
      </c>
      <c r="L23" s="29" t="s">
        <v>164</v>
      </c>
      <c r="M23" s="29" t="s">
        <v>176</v>
      </c>
      <c r="N23" s="29" t="s">
        <v>177</v>
      </c>
      <c r="O23" s="30">
        <v>1</v>
      </c>
      <c r="P23" s="25"/>
      <c r="Q23" s="29">
        <v>3285</v>
      </c>
      <c r="R23" s="31">
        <v>295</v>
      </c>
      <c r="S23" s="43" t="str">
        <f>IF(SUMPRODUCT((fo_makara[[#Headers],[MAKARA NO]]=fo_124[[#This Row],[Makara Numarası]])*(fo_makara[[#Headers],[KALAN]]&lt;0))&gt;0,
    "HATA VAR",
    "")</f>
        <v/>
      </c>
      <c r="T2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4" spans="1:21" x14ac:dyDescent="0.3">
      <c r="A24" s="22">
        <v>45954</v>
      </c>
      <c r="B24" s="23" t="s">
        <v>5</v>
      </c>
      <c r="C24" s="29" t="s">
        <v>178</v>
      </c>
      <c r="D24" s="29" t="s">
        <v>179</v>
      </c>
      <c r="E24" s="29" t="s">
        <v>180</v>
      </c>
      <c r="F24" s="24" t="s">
        <v>67</v>
      </c>
      <c r="G24" s="29" t="s">
        <v>11</v>
      </c>
      <c r="H24" s="29">
        <v>562</v>
      </c>
      <c r="I24" s="29">
        <v>562</v>
      </c>
      <c r="J24" s="29">
        <v>420</v>
      </c>
      <c r="K24" s="29" t="s">
        <v>179</v>
      </c>
      <c r="L24" s="29" t="s">
        <v>6</v>
      </c>
      <c r="M24" s="29" t="s">
        <v>180</v>
      </c>
      <c r="N24" s="29" t="s">
        <v>181</v>
      </c>
      <c r="O24" s="30">
        <v>1</v>
      </c>
      <c r="P24" s="25"/>
      <c r="Q24" s="29">
        <v>420</v>
      </c>
      <c r="R24" s="31">
        <v>142</v>
      </c>
      <c r="S24" s="43" t="str">
        <f>IF(SUMPRODUCT((fo_makara[[#Headers],[MAKARA NO]]=fo_124[[#This Row],[Makara Numarası]])*(fo_makara[[#Headers],[KALAN]]&lt;0))&gt;0,
    "HATA VAR",
    "")</f>
        <v/>
      </c>
      <c r="T2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5" spans="1:21" x14ac:dyDescent="0.3">
      <c r="A25" s="22">
        <v>45954</v>
      </c>
      <c r="B25" s="23" t="s">
        <v>5</v>
      </c>
      <c r="C25" s="29" t="s">
        <v>182</v>
      </c>
      <c r="D25" s="29" t="s">
        <v>180</v>
      </c>
      <c r="E25" s="29" t="s">
        <v>183</v>
      </c>
      <c r="F25" s="24" t="s">
        <v>67</v>
      </c>
      <c r="G25" s="29" t="s">
        <v>12</v>
      </c>
      <c r="H25" s="29">
        <v>4169</v>
      </c>
      <c r="I25" s="29">
        <v>4169</v>
      </c>
      <c r="J25" s="29">
        <v>3948</v>
      </c>
      <c r="K25" s="29" t="s">
        <v>180</v>
      </c>
      <c r="L25" s="29" t="s">
        <v>181</v>
      </c>
      <c r="M25" s="29" t="s">
        <v>183</v>
      </c>
      <c r="N25" s="29" t="s">
        <v>184</v>
      </c>
      <c r="O25" s="30">
        <v>1</v>
      </c>
      <c r="P25" s="25"/>
      <c r="Q25" s="29">
        <v>3948</v>
      </c>
      <c r="R25" s="31">
        <v>320</v>
      </c>
      <c r="S25" s="43" t="str">
        <f>IF(SUMPRODUCT((fo_makara[[#Headers],[MAKARA NO]]=fo_124[[#This Row],[Makara Numarası]])*(fo_makara[[#Headers],[KALAN]]&lt;0))&gt;0,
    "HATA VAR",
    "")</f>
        <v/>
      </c>
      <c r="T2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6" spans="1:21" x14ac:dyDescent="0.3">
      <c r="A26" s="22">
        <v>45954</v>
      </c>
      <c r="B26" s="23" t="s">
        <v>5</v>
      </c>
      <c r="C26" s="29" t="s">
        <v>185</v>
      </c>
      <c r="D26" s="29" t="s">
        <v>183</v>
      </c>
      <c r="E26" s="29" t="s">
        <v>186</v>
      </c>
      <c r="F26" s="24" t="s">
        <v>67</v>
      </c>
      <c r="G26" s="29" t="s">
        <v>11</v>
      </c>
      <c r="H26" s="29">
        <v>420</v>
      </c>
      <c r="I26" s="29">
        <v>420</v>
      </c>
      <c r="J26" s="29">
        <v>40</v>
      </c>
      <c r="K26" s="29" t="s">
        <v>183</v>
      </c>
      <c r="L26" s="29" t="s">
        <v>184</v>
      </c>
      <c r="M26" s="29" t="s">
        <v>186</v>
      </c>
      <c r="N26" s="29" t="s">
        <v>187</v>
      </c>
      <c r="O26" s="30">
        <v>1</v>
      </c>
      <c r="P26" s="25"/>
      <c r="Q26" s="29">
        <v>40</v>
      </c>
      <c r="R26" s="31">
        <v>380</v>
      </c>
      <c r="S26" s="43" t="str">
        <f>IF(SUMPRODUCT((fo_makara[[#Headers],[MAKARA NO]]=fo_124[[#This Row],[Makara Numarası]])*(fo_makara[[#Headers],[KALAN]]&lt;0))&gt;0,
    "HATA VAR",
    "")</f>
        <v/>
      </c>
      <c r="T2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7" spans="1:21" x14ac:dyDescent="0.3">
      <c r="A27" s="22">
        <v>45954</v>
      </c>
      <c r="B27" s="23" t="s">
        <v>5</v>
      </c>
      <c r="C27" s="29" t="s">
        <v>188</v>
      </c>
      <c r="D27" s="29" t="s">
        <v>118</v>
      </c>
      <c r="E27" s="29" t="s">
        <v>186</v>
      </c>
      <c r="F27" s="24" t="s">
        <v>119</v>
      </c>
      <c r="G27" s="29" t="s">
        <v>162</v>
      </c>
      <c r="H27" s="29">
        <v>2070</v>
      </c>
      <c r="I27" s="29">
        <v>2070</v>
      </c>
      <c r="J27" s="29">
        <v>1763</v>
      </c>
      <c r="K27" s="29" t="s">
        <v>186</v>
      </c>
      <c r="L27" s="29" t="s">
        <v>187</v>
      </c>
      <c r="M27" s="29" t="s">
        <v>118</v>
      </c>
      <c r="N27" s="29" t="s">
        <v>189</v>
      </c>
      <c r="O27" s="30">
        <v>1</v>
      </c>
      <c r="P27" s="25"/>
      <c r="Q27" s="29">
        <v>1763</v>
      </c>
      <c r="R27" s="31">
        <v>307</v>
      </c>
      <c r="S27" s="43" t="str">
        <f>IF(SUMPRODUCT((fo_makara[[#Headers],[MAKARA NO]]=fo_124[[#This Row],[Makara Numarası]])*(fo_makara[[#Headers],[KALAN]]&lt;0))&gt;0,
    "HATA VAR",
    "")</f>
        <v/>
      </c>
      <c r="T2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8" spans="1:21" x14ac:dyDescent="0.3">
      <c r="A28" s="22">
        <v>45954</v>
      </c>
      <c r="B28" s="23" t="s">
        <v>5</v>
      </c>
      <c r="C28" s="29" t="s">
        <v>190</v>
      </c>
      <c r="D28" s="29" t="s">
        <v>118</v>
      </c>
      <c r="E28" s="29" t="s">
        <v>191</v>
      </c>
      <c r="F28" s="24" t="s">
        <v>67</v>
      </c>
      <c r="G28" s="29" t="s">
        <v>12</v>
      </c>
      <c r="H28" s="29">
        <v>3849</v>
      </c>
      <c r="I28" s="29">
        <v>3849</v>
      </c>
      <c r="J28" s="29">
        <v>3483</v>
      </c>
      <c r="K28" s="29" t="s">
        <v>118</v>
      </c>
      <c r="L28" s="29" t="s">
        <v>189</v>
      </c>
      <c r="M28" s="29" t="s">
        <v>191</v>
      </c>
      <c r="N28" s="29" t="s">
        <v>192</v>
      </c>
      <c r="O28" s="30">
        <v>1</v>
      </c>
      <c r="P28" s="25"/>
      <c r="Q28" s="29">
        <v>3483</v>
      </c>
      <c r="R28" s="31">
        <v>366</v>
      </c>
      <c r="S28" s="43" t="str">
        <f>IF(SUMPRODUCT((fo_makara[[#Headers],[MAKARA NO]]=fo_124[[#This Row],[Makara Numarası]])*(fo_makara[[#Headers],[KALAN]]&lt;0))&gt;0,
    "HATA VAR",
    "")</f>
        <v/>
      </c>
      <c r="T2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29" spans="1:21" x14ac:dyDescent="0.3">
      <c r="A29" s="22">
        <v>45961</v>
      </c>
      <c r="B29" s="23" t="s">
        <v>3</v>
      </c>
      <c r="C29" s="29" t="s">
        <v>194</v>
      </c>
      <c r="D29" s="29" t="s">
        <v>195</v>
      </c>
      <c r="E29" s="29" t="s">
        <v>117</v>
      </c>
      <c r="F29" s="24" t="s">
        <v>119</v>
      </c>
      <c r="G29" s="29" t="s">
        <v>10</v>
      </c>
      <c r="H29" s="29">
        <v>100</v>
      </c>
      <c r="I29" s="29">
        <v>100</v>
      </c>
      <c r="J29" s="29">
        <v>0</v>
      </c>
      <c r="K29" s="29" t="s">
        <v>117</v>
      </c>
      <c r="L29" s="29" t="s">
        <v>121</v>
      </c>
      <c r="M29" s="25" t="s">
        <v>196</v>
      </c>
      <c r="N29" s="25" t="s">
        <v>197</v>
      </c>
      <c r="O29" s="30">
        <v>1</v>
      </c>
      <c r="P29" s="25"/>
      <c r="Q29" s="29">
        <v>0</v>
      </c>
      <c r="R29" s="31">
        <v>100</v>
      </c>
      <c r="S29" s="43" t="str">
        <f>IF(SUMPRODUCT((fo_makara[[#Headers],[MAKARA NO]]=fo_124[[#This Row],[Makara Numarası]])*(fo_makara[[#Headers],[KALAN]]&lt;0))&gt;0,
    "HATA VAR",
    "")</f>
        <v/>
      </c>
      <c r="T2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2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0" spans="1:21" x14ac:dyDescent="0.3">
      <c r="A30" s="22">
        <v>45954</v>
      </c>
      <c r="B30" s="23" t="s">
        <v>5</v>
      </c>
      <c r="C30" s="29" t="s">
        <v>190</v>
      </c>
      <c r="D30" s="29" t="s">
        <v>118</v>
      </c>
      <c r="E30" s="29" t="s">
        <v>191</v>
      </c>
      <c r="F30" s="24" t="s">
        <v>67</v>
      </c>
      <c r="G30" s="29" t="s">
        <v>12</v>
      </c>
      <c r="H30" s="29">
        <v>3483</v>
      </c>
      <c r="I30" s="29">
        <v>3483</v>
      </c>
      <c r="J30" s="29">
        <v>2153</v>
      </c>
      <c r="K30" s="29" t="s">
        <v>118</v>
      </c>
      <c r="L30" s="29" t="s">
        <v>192</v>
      </c>
      <c r="M30" s="29" t="s">
        <v>193</v>
      </c>
      <c r="N30" s="29" t="s">
        <v>200</v>
      </c>
      <c r="O30" s="30">
        <v>1</v>
      </c>
      <c r="P30" s="25" t="s">
        <v>193</v>
      </c>
      <c r="Q30" s="29">
        <v>2153</v>
      </c>
      <c r="R30" s="31">
        <v>1330</v>
      </c>
      <c r="S30" s="43" t="str">
        <f>IF(SUMPRODUCT((fo_makara[[#Headers],[MAKARA NO]]=fo_124[[#This Row],[Makara Numarası]])*(fo_makara[[#Headers],[KALAN]]&lt;0))&gt;0,
    "HATA VAR",
    "")</f>
        <v/>
      </c>
      <c r="T3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1" spans="1:21" x14ac:dyDescent="0.3">
      <c r="A31" s="22">
        <v>45957</v>
      </c>
      <c r="B31" s="23" t="s">
        <v>5</v>
      </c>
      <c r="C31" s="29" t="s">
        <v>198</v>
      </c>
      <c r="D31" s="29" t="s">
        <v>138</v>
      </c>
      <c r="E31" s="29" t="s">
        <v>199</v>
      </c>
      <c r="F31" s="24" t="s">
        <v>119</v>
      </c>
      <c r="G31" s="29" t="s">
        <v>162</v>
      </c>
      <c r="H31" s="29">
        <v>1763</v>
      </c>
      <c r="I31" s="29">
        <v>1763</v>
      </c>
      <c r="J31" s="29">
        <v>316</v>
      </c>
      <c r="K31" s="29" t="s">
        <v>138</v>
      </c>
      <c r="L31" s="29" t="s">
        <v>200</v>
      </c>
      <c r="M31" s="29" t="s">
        <v>199</v>
      </c>
      <c r="N31" s="29" t="s">
        <v>201</v>
      </c>
      <c r="O31" s="30">
        <v>1</v>
      </c>
      <c r="P31" s="25"/>
      <c r="Q31" s="29">
        <v>316</v>
      </c>
      <c r="R31" s="31">
        <v>1447</v>
      </c>
      <c r="S31" s="43" t="str">
        <f>IF(SUMPRODUCT((fo_makara[[#Headers],[MAKARA NO]]=fo_124[[#This Row],[Makara Numarası]])*(fo_makara[[#Headers],[KALAN]]&lt;0))&gt;0,
    "HATA VAR",
    "")</f>
        <v/>
      </c>
      <c r="T31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1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2" spans="1:21" x14ac:dyDescent="0.3">
      <c r="A32" s="22">
        <v>45961</v>
      </c>
      <c r="B32" s="23" t="s">
        <v>7</v>
      </c>
      <c r="C32" s="29" t="s">
        <v>202</v>
      </c>
      <c r="D32" s="29" t="s">
        <v>199</v>
      </c>
      <c r="E32" s="29" t="s">
        <v>138</v>
      </c>
      <c r="F32" s="24" t="s">
        <v>67</v>
      </c>
      <c r="G32" s="29" t="s">
        <v>203</v>
      </c>
      <c r="H32" s="29">
        <v>4079</v>
      </c>
      <c r="I32" s="29">
        <v>4079</v>
      </c>
      <c r="J32" s="29">
        <v>210</v>
      </c>
      <c r="K32" s="25" t="s">
        <v>204</v>
      </c>
      <c r="L32" s="29" t="s">
        <v>201</v>
      </c>
      <c r="M32" s="25" t="s">
        <v>205</v>
      </c>
      <c r="N32" s="29" t="s">
        <v>206</v>
      </c>
      <c r="O32" s="30">
        <v>1</v>
      </c>
      <c r="P32" s="25" t="s">
        <v>205</v>
      </c>
      <c r="Q32" s="29">
        <v>210</v>
      </c>
      <c r="R32" s="31">
        <v>3869</v>
      </c>
      <c r="S32" s="43" t="str">
        <f>IF(SUMPRODUCT((fo_makara[[#Headers],[MAKARA NO]]=fo_124[[#This Row],[Makara Numarası]])*(fo_makara[[#Headers],[KALAN]]&lt;0))&gt;0,
    "HATA VAR",
    "")</f>
        <v/>
      </c>
      <c r="T3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3" spans="1:21" x14ac:dyDescent="0.3">
      <c r="A33" s="22">
        <v>45964</v>
      </c>
      <c r="B33" s="23" t="s">
        <v>7</v>
      </c>
      <c r="C33" s="29" t="s">
        <v>207</v>
      </c>
      <c r="D33" s="29" t="s">
        <v>138</v>
      </c>
      <c r="E33" s="29" t="s">
        <v>208</v>
      </c>
      <c r="F33" s="29" t="s">
        <v>119</v>
      </c>
      <c r="G33" s="29" t="s">
        <v>13</v>
      </c>
      <c r="H33" s="29">
        <v>1010</v>
      </c>
      <c r="I33" s="29">
        <v>1010</v>
      </c>
      <c r="J33" s="29">
        <v>630</v>
      </c>
      <c r="K33" s="29" t="s">
        <v>208</v>
      </c>
      <c r="L33" s="29" t="s">
        <v>206</v>
      </c>
      <c r="M33" s="29" t="s">
        <v>138</v>
      </c>
      <c r="N33" s="29" t="s">
        <v>209</v>
      </c>
      <c r="O33" s="30">
        <v>1</v>
      </c>
      <c r="P33" s="25"/>
      <c r="Q33" s="29">
        <v>630</v>
      </c>
      <c r="R33" s="31">
        <v>380</v>
      </c>
      <c r="S33" s="43" t="str">
        <f>IF(SUMPRODUCT((fo_makara[[#Headers],[MAKARA NO]]=fo_124[[#This Row],[Makara Numarası]])*(fo_makara[[#Headers],[KALAN]]&lt;0))&gt;0,
    "HATA VAR",
    "")</f>
        <v/>
      </c>
      <c r="T3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4" spans="1:21" x14ac:dyDescent="0.3">
      <c r="A34" s="22">
        <v>45965</v>
      </c>
      <c r="B34" s="23" t="s">
        <v>7</v>
      </c>
      <c r="C34" s="29" t="s">
        <v>210</v>
      </c>
      <c r="D34" s="29" t="s">
        <v>208</v>
      </c>
      <c r="E34" s="29" t="s">
        <v>211</v>
      </c>
      <c r="F34" s="29" t="s">
        <v>67</v>
      </c>
      <c r="G34" s="29" t="s">
        <v>203</v>
      </c>
      <c r="H34" s="29">
        <v>95</v>
      </c>
      <c r="I34" s="29">
        <v>95</v>
      </c>
      <c r="J34" s="29">
        <v>0</v>
      </c>
      <c r="K34" s="29" t="s">
        <v>208</v>
      </c>
      <c r="L34" s="29" t="s">
        <v>209</v>
      </c>
      <c r="M34" s="29" t="s">
        <v>211</v>
      </c>
      <c r="N34" s="29" t="s">
        <v>212</v>
      </c>
      <c r="O34" s="30">
        <v>1</v>
      </c>
      <c r="P34" s="25"/>
      <c r="Q34" s="29">
        <v>0</v>
      </c>
      <c r="R34" s="31">
        <v>95</v>
      </c>
      <c r="S34" s="43" t="str">
        <f>IF(SUMPRODUCT((fo_makara[[#Headers],[MAKARA NO]]=fo_124[[#This Row],[Makara Numarası]])*(fo_makara[[#Headers],[KALAN]]&lt;0))&gt;0,
    "HATA VAR",
    "")</f>
        <v/>
      </c>
      <c r="T3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5" spans="1:21" x14ac:dyDescent="0.3">
      <c r="A35" s="22">
        <v>45966</v>
      </c>
      <c r="B35" s="23" t="s">
        <v>7</v>
      </c>
      <c r="C35" s="29" t="s">
        <v>213</v>
      </c>
      <c r="D35" s="29" t="s">
        <v>214</v>
      </c>
      <c r="E35" s="29" t="s">
        <v>211</v>
      </c>
      <c r="F35" s="29" t="s">
        <v>67</v>
      </c>
      <c r="G35" s="29" t="s">
        <v>14</v>
      </c>
      <c r="H35" s="29">
        <v>1150</v>
      </c>
      <c r="I35" s="29">
        <v>1150</v>
      </c>
      <c r="J35" s="29">
        <v>870</v>
      </c>
      <c r="K35" s="29" t="s">
        <v>211</v>
      </c>
      <c r="L35" s="29" t="s">
        <v>212</v>
      </c>
      <c r="M35" s="29" t="s">
        <v>214</v>
      </c>
      <c r="N35" s="29" t="s">
        <v>215</v>
      </c>
      <c r="O35" s="30">
        <v>1</v>
      </c>
      <c r="P35" s="25"/>
      <c r="Q35" s="29">
        <v>870</v>
      </c>
      <c r="R35" s="31">
        <v>280</v>
      </c>
      <c r="S35" s="43" t="str">
        <f>IF(SUMPRODUCT((fo_makara[[#Headers],[MAKARA NO]]=fo_124[[#This Row],[Makara Numarası]])*(fo_makara[[#Headers],[KALAN]]&lt;0))&gt;0,
    "HATA VAR",
    "")</f>
        <v/>
      </c>
      <c r="T3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6" spans="1:21" x14ac:dyDescent="0.3">
      <c r="A36" s="22">
        <v>45965</v>
      </c>
      <c r="B36" s="23" t="s">
        <v>7</v>
      </c>
      <c r="C36" s="29" t="s">
        <v>216</v>
      </c>
      <c r="D36" s="29" t="s">
        <v>217</v>
      </c>
      <c r="E36" s="29" t="s">
        <v>214</v>
      </c>
      <c r="F36" s="29" t="s">
        <v>67</v>
      </c>
      <c r="G36" s="29" t="s">
        <v>203</v>
      </c>
      <c r="H36" s="29">
        <v>210</v>
      </c>
      <c r="I36" s="29">
        <v>210</v>
      </c>
      <c r="J36" s="29">
        <v>95</v>
      </c>
      <c r="K36" s="29" t="s">
        <v>214</v>
      </c>
      <c r="L36" s="29" t="s">
        <v>215</v>
      </c>
      <c r="M36" s="25" t="s">
        <v>217</v>
      </c>
      <c r="N36" s="25" t="s">
        <v>218</v>
      </c>
      <c r="O36" s="30">
        <v>1</v>
      </c>
      <c r="P36" s="25"/>
      <c r="Q36" s="29">
        <v>95</v>
      </c>
      <c r="R36" s="31">
        <v>115</v>
      </c>
      <c r="S36" s="43" t="str">
        <f>IF(SUMPRODUCT((fo_makara[[#Headers],[MAKARA NO]]=fo_124[[#This Row],[Makara Numarası]])*(fo_makara[[#Headers],[KALAN]]&lt;0))&gt;0,
    "HATA VAR",
    "")</f>
        <v/>
      </c>
      <c r="T3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7" spans="1:21" x14ac:dyDescent="0.3">
      <c r="A37" s="22">
        <v>45969</v>
      </c>
      <c r="B37" s="23" t="s">
        <v>7</v>
      </c>
      <c r="C37" s="29" t="s">
        <v>219</v>
      </c>
      <c r="D37" s="29" t="s">
        <v>220</v>
      </c>
      <c r="E37" s="29" t="s">
        <v>221</v>
      </c>
      <c r="F37" s="29" t="s">
        <v>119</v>
      </c>
      <c r="G37" s="29" t="s">
        <v>16</v>
      </c>
      <c r="H37" s="29">
        <v>4096</v>
      </c>
      <c r="I37" s="29">
        <v>4096</v>
      </c>
      <c r="J37" s="29">
        <v>3005</v>
      </c>
      <c r="K37" s="29" t="s">
        <v>220</v>
      </c>
      <c r="L37" s="29" t="s">
        <v>224</v>
      </c>
      <c r="M37" s="29" t="s">
        <v>222</v>
      </c>
      <c r="N37" s="29" t="s">
        <v>223</v>
      </c>
      <c r="O37" s="30">
        <v>1</v>
      </c>
      <c r="P37" s="25"/>
      <c r="Q37" s="29">
        <v>3005</v>
      </c>
      <c r="R37" s="31">
        <v>1091</v>
      </c>
      <c r="S37" s="43" t="str">
        <f>IF(SUMPRODUCT((fo_makara[[#Headers],[MAKARA NO]]=fo_124[[#This Row],[Makara Numarası]])*(fo_makara[[#Headers],[KALAN]]&lt;0))&gt;0,
    "HATA VAR",
    "")</f>
        <v/>
      </c>
      <c r="T3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8" spans="1:21" x14ac:dyDescent="0.3">
      <c r="A38" s="22">
        <v>45964</v>
      </c>
      <c r="B38" s="23" t="s">
        <v>7</v>
      </c>
      <c r="C38" s="29" t="s">
        <v>225</v>
      </c>
      <c r="D38" s="29" t="s">
        <v>226</v>
      </c>
      <c r="E38" s="29" t="s">
        <v>217</v>
      </c>
      <c r="F38" s="29" t="s">
        <v>119</v>
      </c>
      <c r="G38" s="29" t="s">
        <v>13</v>
      </c>
      <c r="H38" s="29">
        <v>2445</v>
      </c>
      <c r="I38" s="29">
        <v>2445</v>
      </c>
      <c r="J38" s="29">
        <v>1010</v>
      </c>
      <c r="K38" s="29" t="s">
        <v>217</v>
      </c>
      <c r="L38" s="29" t="s">
        <v>218</v>
      </c>
      <c r="M38" s="29" t="s">
        <v>227</v>
      </c>
      <c r="N38" s="29" t="s">
        <v>8</v>
      </c>
      <c r="O38" s="30">
        <v>1</v>
      </c>
      <c r="P38" s="25"/>
      <c r="Q38" s="29">
        <v>1010</v>
      </c>
      <c r="R38" s="31">
        <v>1435</v>
      </c>
      <c r="S38" s="43" t="str">
        <f>IF(SUMPRODUCT((fo_makara[[#Headers],[MAKARA NO]]=fo_124[[#This Row],[Makara Numarası]])*(fo_makara[[#Headers],[KALAN]]&lt;0))&gt;0,
    "HATA VAR",
    "")</f>
        <v/>
      </c>
      <c r="T3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39" spans="1:21" x14ac:dyDescent="0.3">
      <c r="A39" s="22">
        <v>45969</v>
      </c>
      <c r="B39" s="23" t="s">
        <v>7</v>
      </c>
      <c r="C39" s="29" t="s">
        <v>219</v>
      </c>
      <c r="D39" s="29" t="s">
        <v>220</v>
      </c>
      <c r="E39" s="29" t="s">
        <v>221</v>
      </c>
      <c r="F39" s="29" t="s">
        <v>67</v>
      </c>
      <c r="G39" s="29" t="s">
        <v>14</v>
      </c>
      <c r="H39" s="29">
        <v>450</v>
      </c>
      <c r="I39" s="29">
        <v>450</v>
      </c>
      <c r="J39" s="29">
        <v>0</v>
      </c>
      <c r="K39" s="29" t="s">
        <v>222</v>
      </c>
      <c r="L39" s="29" t="s">
        <v>223</v>
      </c>
      <c r="M39" s="29" t="s">
        <v>221</v>
      </c>
      <c r="N39" s="29" t="s">
        <v>8</v>
      </c>
      <c r="O39" s="30">
        <v>1</v>
      </c>
      <c r="P39" s="25" t="s">
        <v>222</v>
      </c>
      <c r="Q39" s="29">
        <v>0</v>
      </c>
      <c r="R39" s="31">
        <v>450</v>
      </c>
      <c r="S39" s="43" t="str">
        <f>IF(SUMPRODUCT((fo_makara[[#Headers],[MAKARA NO]]=fo_124[[#This Row],[Makara Numarası]])*(fo_makara[[#Headers],[KALAN]]&lt;0))&gt;0,
    "HATA VAR",
    "")</f>
        <v/>
      </c>
      <c r="T3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3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0" spans="1:21" x14ac:dyDescent="0.3">
      <c r="A40" s="23">
        <v>45974</v>
      </c>
      <c r="B40" s="23" t="s">
        <v>7</v>
      </c>
      <c r="C40" s="29" t="s">
        <v>228</v>
      </c>
      <c r="D40" s="29" t="s">
        <v>229</v>
      </c>
      <c r="E40" s="29" t="s">
        <v>230</v>
      </c>
      <c r="F40" s="29" t="s">
        <v>67</v>
      </c>
      <c r="G40" s="29" t="s">
        <v>12</v>
      </c>
      <c r="H40" s="29">
        <v>240</v>
      </c>
      <c r="I40" s="29">
        <v>240</v>
      </c>
      <c r="J40" s="29">
        <v>60</v>
      </c>
      <c r="K40" s="29" t="s">
        <v>227</v>
      </c>
      <c r="L40" s="29" t="s">
        <v>8</v>
      </c>
      <c r="M40" s="29" t="s">
        <v>229</v>
      </c>
      <c r="N40" s="29" t="s">
        <v>231</v>
      </c>
      <c r="O40" s="32">
        <v>1</v>
      </c>
      <c r="P40" s="25"/>
      <c r="Q40" s="29">
        <v>60</v>
      </c>
      <c r="R40" s="31">
        <v>180</v>
      </c>
      <c r="S40" s="43" t="str">
        <f>IF(SUMPRODUCT((fo_makara[[#Headers],[MAKARA NO]]=fo_124[[#This Row],[Makara Numarası]])*(fo_makara[[#Headers],[KALAN]]&lt;0))&gt;0,
    "HATA VAR",
    "")</f>
        <v/>
      </c>
      <c r="T4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1" spans="1:21" x14ac:dyDescent="0.3">
      <c r="A41" s="33">
        <v>45973</v>
      </c>
      <c r="B41" s="23" t="s">
        <v>7</v>
      </c>
      <c r="C41" s="34" t="s">
        <v>237</v>
      </c>
      <c r="D41" s="34" t="s">
        <v>238</v>
      </c>
      <c r="E41" s="34"/>
      <c r="F41" s="34" t="s">
        <v>67</v>
      </c>
      <c r="G41" s="34" t="s">
        <v>15</v>
      </c>
      <c r="H41" s="34">
        <v>577</v>
      </c>
      <c r="I41" s="34">
        <v>577</v>
      </c>
      <c r="J41" s="34">
        <v>110</v>
      </c>
      <c r="K41" s="34">
        <v>0</v>
      </c>
      <c r="L41" s="34" t="s">
        <v>240</v>
      </c>
      <c r="M41" s="34" t="s">
        <v>238</v>
      </c>
      <c r="N41" s="34" t="s">
        <v>239</v>
      </c>
      <c r="O41" s="32">
        <v>1</v>
      </c>
      <c r="P41" s="35"/>
      <c r="Q41" s="34">
        <v>110</v>
      </c>
      <c r="R41" s="36">
        <v>467</v>
      </c>
      <c r="S41" s="43" t="str">
        <f>IF(SUMPRODUCT((fo_makara[[#Headers],[MAKARA NO]]=fo_124[[#This Row],[Makara Numarası]])*(fo_makara[[#Headers],[KALAN]]&lt;0))&gt;0,
    "HATA VAR",
    "")</f>
        <v/>
      </c>
      <c r="T41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1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2" spans="1:21" x14ac:dyDescent="0.3">
      <c r="A42" s="23">
        <v>45972</v>
      </c>
      <c r="B42" s="23" t="s">
        <v>7</v>
      </c>
      <c r="C42" s="29" t="s">
        <v>232</v>
      </c>
      <c r="D42" s="29" t="s">
        <v>233</v>
      </c>
      <c r="E42" s="29" t="s">
        <v>234</v>
      </c>
      <c r="F42" s="29" t="s">
        <v>67</v>
      </c>
      <c r="G42" s="29" t="s">
        <v>12</v>
      </c>
      <c r="H42" s="29">
        <v>800</v>
      </c>
      <c r="I42" s="29">
        <v>800</v>
      </c>
      <c r="J42" s="29">
        <v>240</v>
      </c>
      <c r="K42" s="29" t="s">
        <v>233</v>
      </c>
      <c r="L42" s="29" t="s">
        <v>235</v>
      </c>
      <c r="M42" s="29" t="s">
        <v>234</v>
      </c>
      <c r="N42" s="29" t="s">
        <v>236</v>
      </c>
      <c r="O42" s="30">
        <v>1</v>
      </c>
      <c r="P42" s="25"/>
      <c r="Q42" s="29">
        <v>240</v>
      </c>
      <c r="R42" s="31">
        <v>560</v>
      </c>
      <c r="S42" s="43" t="str">
        <f>IF(SUMPRODUCT((fo_makara[[#Headers],[MAKARA NO]]=fo_124[[#This Row],[Makara Numarası]])*(fo_makara[[#Headers],[KALAN]]&lt;0))&gt;0,
    "HATA VAR",
    "")</f>
        <v/>
      </c>
      <c r="T4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3" spans="1:21" x14ac:dyDescent="0.3">
      <c r="A43" s="23">
        <v>45972</v>
      </c>
      <c r="B43" s="23" t="s">
        <v>7</v>
      </c>
      <c r="C43" s="29" t="s">
        <v>241</v>
      </c>
      <c r="D43" s="29" t="s">
        <v>234</v>
      </c>
      <c r="E43" s="29" t="s">
        <v>242</v>
      </c>
      <c r="F43" s="29" t="s">
        <v>67</v>
      </c>
      <c r="G43" s="29" t="s">
        <v>243</v>
      </c>
      <c r="H43" s="29">
        <v>4100</v>
      </c>
      <c r="I43" s="29">
        <v>4100</v>
      </c>
      <c r="J43" s="29">
        <v>2870</v>
      </c>
      <c r="K43" s="29" t="s">
        <v>234</v>
      </c>
      <c r="L43" s="29" t="s">
        <v>236</v>
      </c>
      <c r="M43" s="29" t="s">
        <v>242</v>
      </c>
      <c r="N43" s="29" t="s">
        <v>244</v>
      </c>
      <c r="O43" s="30">
        <v>1</v>
      </c>
      <c r="P43" s="25" t="s">
        <v>245</v>
      </c>
      <c r="Q43" s="29">
        <v>2870</v>
      </c>
      <c r="R43" s="31">
        <v>1230</v>
      </c>
      <c r="S43" s="43" t="str">
        <f>IF(SUMPRODUCT((fo_makara[[#Headers],[MAKARA NO]]=fo_124[[#This Row],[Makara Numarası]])*(fo_makara[[#Headers],[KALAN]]&lt;0))&gt;0,
    "HATA VAR",
    "")</f>
        <v/>
      </c>
      <c r="T4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4" spans="1:21" x14ac:dyDescent="0.3">
      <c r="A44" s="33">
        <v>45973</v>
      </c>
      <c r="B44" s="23" t="s">
        <v>7</v>
      </c>
      <c r="C44" s="34" t="s">
        <v>246</v>
      </c>
      <c r="D44" s="34" t="s">
        <v>242</v>
      </c>
      <c r="E44" s="34" t="s">
        <v>247</v>
      </c>
      <c r="F44" s="34" t="s">
        <v>67</v>
      </c>
      <c r="G44" s="34" t="s">
        <v>243</v>
      </c>
      <c r="H44" s="34">
        <v>2343</v>
      </c>
      <c r="I44" s="34">
        <v>2343</v>
      </c>
      <c r="J44" s="34">
        <v>523</v>
      </c>
      <c r="K44" s="34" t="s">
        <v>242</v>
      </c>
      <c r="L44" s="34" t="s">
        <v>244</v>
      </c>
      <c r="M44" s="34" t="s">
        <v>247</v>
      </c>
      <c r="N44" s="34" t="s">
        <v>248</v>
      </c>
      <c r="O44" s="32">
        <v>1</v>
      </c>
      <c r="P44" s="35"/>
      <c r="Q44" s="34">
        <v>523</v>
      </c>
      <c r="R44" s="36">
        <v>1820</v>
      </c>
      <c r="S44" s="43" t="str">
        <f>IF(SUMPRODUCT((fo_makara[[#Headers],[MAKARA NO]]=fo_124[[#This Row],[Makara Numarası]])*(fo_makara[[#Headers],[KALAN]]&lt;0))&gt;0,
    "HATA VAR",
    "")</f>
        <v/>
      </c>
      <c r="T4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5" spans="1:21" x14ac:dyDescent="0.3">
      <c r="A45" s="33">
        <v>45973</v>
      </c>
      <c r="B45" s="23" t="s">
        <v>7</v>
      </c>
      <c r="C45" s="34" t="s">
        <v>249</v>
      </c>
      <c r="D45" s="34" t="s">
        <v>247</v>
      </c>
      <c r="E45" s="34" t="s">
        <v>250</v>
      </c>
      <c r="F45" s="34" t="s">
        <v>67</v>
      </c>
      <c r="G45" s="34" t="s">
        <v>243</v>
      </c>
      <c r="H45" s="34">
        <v>2870</v>
      </c>
      <c r="I45" s="34">
        <v>2870</v>
      </c>
      <c r="J45" s="34">
        <v>2343</v>
      </c>
      <c r="K45" s="34" t="s">
        <v>247</v>
      </c>
      <c r="L45" s="34" t="s">
        <v>248</v>
      </c>
      <c r="M45" s="34" t="s">
        <v>250</v>
      </c>
      <c r="N45" s="34" t="s">
        <v>251</v>
      </c>
      <c r="O45" s="32">
        <v>1</v>
      </c>
      <c r="P45" s="35"/>
      <c r="Q45" s="34">
        <v>2343</v>
      </c>
      <c r="R45" s="36">
        <v>527</v>
      </c>
      <c r="S45" s="43" t="str">
        <f>IF(SUMPRODUCT((fo_makara[[#Headers],[MAKARA NO]]=fo_124[[#This Row],[Makara Numarası]])*(fo_makara[[#Headers],[KALAN]]&lt;0))&gt;0,
    "HATA VAR",
    "")</f>
        <v/>
      </c>
      <c r="T4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6" spans="1:21" x14ac:dyDescent="0.3">
      <c r="A46" s="33">
        <v>45973</v>
      </c>
      <c r="B46" s="23" t="s">
        <v>7</v>
      </c>
      <c r="C46" s="34" t="s">
        <v>252</v>
      </c>
      <c r="D46" s="34" t="s">
        <v>250</v>
      </c>
      <c r="E46" s="34" t="s">
        <v>253</v>
      </c>
      <c r="F46" s="34" t="s">
        <v>67</v>
      </c>
      <c r="G46" s="34" t="s">
        <v>243</v>
      </c>
      <c r="H46" s="34">
        <v>523</v>
      </c>
      <c r="I46" s="34">
        <v>523</v>
      </c>
      <c r="J46" s="34">
        <v>150</v>
      </c>
      <c r="K46" s="34" t="s">
        <v>250</v>
      </c>
      <c r="L46" s="34" t="s">
        <v>251</v>
      </c>
      <c r="M46" s="34" t="s">
        <v>253</v>
      </c>
      <c r="N46" s="34" t="s">
        <v>254</v>
      </c>
      <c r="O46" s="32">
        <v>1</v>
      </c>
      <c r="P46" s="35"/>
      <c r="Q46" s="34">
        <v>150</v>
      </c>
      <c r="R46" s="36">
        <v>373</v>
      </c>
      <c r="S46" s="43" t="str">
        <f>IF(SUMPRODUCT((fo_makara[[#Headers],[MAKARA NO]]=fo_124[[#This Row],[Makara Numarası]])*(fo_makara[[#Headers],[KALAN]]&lt;0))&gt;0,
    "HATA VAR",
    "")</f>
        <v/>
      </c>
      <c r="T4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7" spans="1:21" x14ac:dyDescent="0.3">
      <c r="A47" s="33">
        <v>45973</v>
      </c>
      <c r="B47" s="23" t="s">
        <v>7</v>
      </c>
      <c r="C47" s="34" t="s">
        <v>255</v>
      </c>
      <c r="D47" s="34" t="s">
        <v>253</v>
      </c>
      <c r="E47" s="34" t="s">
        <v>256</v>
      </c>
      <c r="F47" s="34" t="s">
        <v>67</v>
      </c>
      <c r="G47" s="34" t="s">
        <v>243</v>
      </c>
      <c r="H47" s="34">
        <v>150</v>
      </c>
      <c r="I47" s="34">
        <v>150</v>
      </c>
      <c r="J47" s="34">
        <v>0</v>
      </c>
      <c r="K47" s="34" t="s">
        <v>256</v>
      </c>
      <c r="L47" s="34" t="s">
        <v>254</v>
      </c>
      <c r="M47" s="34" t="s">
        <v>253</v>
      </c>
      <c r="N47" s="34" t="s">
        <v>257</v>
      </c>
      <c r="O47" s="32">
        <v>1</v>
      </c>
      <c r="P47" s="35"/>
      <c r="Q47" s="34">
        <v>0</v>
      </c>
      <c r="R47" s="36">
        <v>150</v>
      </c>
      <c r="S47" s="43" t="str">
        <f>IF(SUMPRODUCT((fo_makara[[#Headers],[MAKARA NO]]=fo_124[[#This Row],[Makara Numarası]])*(fo_makara[[#Headers],[KALAN]]&lt;0))&gt;0,
    "HATA VAR",
    "")</f>
        <v/>
      </c>
      <c r="T4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8" spans="1:21" x14ac:dyDescent="0.3">
      <c r="A48" s="39">
        <v>45981</v>
      </c>
      <c r="B48" s="23" t="s">
        <v>2</v>
      </c>
      <c r="C48" s="29" t="s">
        <v>270</v>
      </c>
      <c r="D48" s="29" t="s">
        <v>163</v>
      </c>
      <c r="E48" s="29" t="s">
        <v>163</v>
      </c>
      <c r="F48" s="29" t="s">
        <v>119</v>
      </c>
      <c r="G48" s="29" t="s">
        <v>20</v>
      </c>
      <c r="H48" s="29">
        <v>4032</v>
      </c>
      <c r="I48" s="29">
        <v>4032</v>
      </c>
      <c r="J48" s="29">
        <v>1413</v>
      </c>
      <c r="K48" s="29" t="s">
        <v>163</v>
      </c>
      <c r="L48" s="29" t="s">
        <v>257</v>
      </c>
      <c r="M48" s="29" t="s">
        <v>163</v>
      </c>
      <c r="N48" s="29" t="s">
        <v>260</v>
      </c>
      <c r="O48" s="32">
        <v>1</v>
      </c>
      <c r="P48" s="25"/>
      <c r="Q48" s="29">
        <v>1413</v>
      </c>
      <c r="R48" s="31">
        <v>2619</v>
      </c>
      <c r="S48" s="43" t="str">
        <f>IF(SUMPRODUCT((fo_makara[[#Headers],[MAKARA NO]]=fo_124[[#This Row],[Makara Numarası]])*(fo_makara[[#Headers],[KALAN]]&lt;0))&gt;0,
    "HATA VAR",
    "")</f>
        <v/>
      </c>
      <c r="T4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49" spans="1:21" x14ac:dyDescent="0.3">
      <c r="A49" s="39">
        <v>45980</v>
      </c>
      <c r="B49" s="23" t="s">
        <v>2</v>
      </c>
      <c r="C49" s="29" t="s">
        <v>258</v>
      </c>
      <c r="D49" s="29" t="s">
        <v>163</v>
      </c>
      <c r="E49" s="29" t="s">
        <v>259</v>
      </c>
      <c r="F49" s="29" t="s">
        <v>119</v>
      </c>
      <c r="G49" s="29" t="s">
        <v>162</v>
      </c>
      <c r="H49" s="29">
        <v>316</v>
      </c>
      <c r="I49" s="29">
        <v>316</v>
      </c>
      <c r="J49" s="29">
        <v>180</v>
      </c>
      <c r="K49" s="29" t="s">
        <v>163</v>
      </c>
      <c r="L49" s="29" t="s">
        <v>260</v>
      </c>
      <c r="M49" s="29" t="s">
        <v>259</v>
      </c>
      <c r="N49" s="29" t="s">
        <v>261</v>
      </c>
      <c r="O49" s="32">
        <v>1</v>
      </c>
      <c r="P49" s="25"/>
      <c r="Q49" s="29">
        <v>180</v>
      </c>
      <c r="R49" s="31">
        <v>136</v>
      </c>
      <c r="S49" s="43" t="str">
        <f>IF(SUMPRODUCT((fo_makara[[#Headers],[MAKARA NO]]=fo_124[[#This Row],[Makara Numarası]])*(fo_makara[[#Headers],[KALAN]]&lt;0))&gt;0,
    "HATA VAR",
    "")</f>
        <v/>
      </c>
      <c r="T4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4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0" spans="1:21" x14ac:dyDescent="0.3">
      <c r="A50" s="39">
        <v>45981</v>
      </c>
      <c r="B50" s="23" t="s">
        <v>2</v>
      </c>
      <c r="C50" s="29" t="s">
        <v>271</v>
      </c>
      <c r="D50" s="29" t="s">
        <v>272</v>
      </c>
      <c r="E50" s="29" t="s">
        <v>273</v>
      </c>
      <c r="F50" s="29" t="s">
        <v>67</v>
      </c>
      <c r="G50" s="29" t="s">
        <v>17</v>
      </c>
      <c r="H50" s="29">
        <v>3015</v>
      </c>
      <c r="I50" s="29">
        <v>3015</v>
      </c>
      <c r="J50" s="29">
        <v>2699</v>
      </c>
      <c r="K50" s="29" t="s">
        <v>272</v>
      </c>
      <c r="L50" s="29" t="s">
        <v>261</v>
      </c>
      <c r="M50" s="29" t="s">
        <v>273</v>
      </c>
      <c r="N50" s="29" t="s">
        <v>274</v>
      </c>
      <c r="O50" s="32">
        <v>1</v>
      </c>
      <c r="P50" s="25"/>
      <c r="Q50" s="29">
        <v>2699</v>
      </c>
      <c r="R50" s="31">
        <v>316</v>
      </c>
      <c r="S50" s="43" t="str">
        <f>IF(SUMPRODUCT((fo_makara[[#Headers],[MAKARA NO]]=fo_124[[#This Row],[Makara Numarası]])*(fo_makara[[#Headers],[KALAN]]&lt;0))&gt;0,
    "HATA VAR",
    "")</f>
        <v/>
      </c>
      <c r="T5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1" spans="1:21" x14ac:dyDescent="0.3">
      <c r="A51" s="39">
        <v>45981</v>
      </c>
      <c r="B51" s="23" t="s">
        <v>2</v>
      </c>
      <c r="C51" s="29" t="s">
        <v>275</v>
      </c>
      <c r="D51" s="29" t="s">
        <v>273</v>
      </c>
      <c r="E51" s="29" t="s">
        <v>263</v>
      </c>
      <c r="F51" s="29" t="s">
        <v>67</v>
      </c>
      <c r="G51" s="29" t="s">
        <v>17</v>
      </c>
      <c r="H51" s="29">
        <v>2699</v>
      </c>
      <c r="I51" s="29">
        <v>2699</v>
      </c>
      <c r="J51" s="29">
        <v>2480</v>
      </c>
      <c r="K51" s="29" t="s">
        <v>273</v>
      </c>
      <c r="L51" s="29" t="s">
        <v>274</v>
      </c>
      <c r="M51" s="29" t="s">
        <v>263</v>
      </c>
      <c r="N51" s="29" t="s">
        <v>264</v>
      </c>
      <c r="O51" s="32">
        <v>1</v>
      </c>
      <c r="P51" s="25"/>
      <c r="Q51" s="29">
        <v>2480</v>
      </c>
      <c r="R51" s="31">
        <v>219</v>
      </c>
      <c r="S51" s="43" t="str">
        <f>IF(SUMPRODUCT((fo_makara[[#Headers],[MAKARA NO]]=fo_124[[#This Row],[Makara Numarası]])*(fo_makara[[#Headers],[KALAN]]&lt;0))&gt;0,
    "HATA VAR",
    "")</f>
        <v/>
      </c>
      <c r="T51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1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2" spans="1:21" x14ac:dyDescent="0.3">
      <c r="A52" s="39">
        <v>45980</v>
      </c>
      <c r="B52" s="23" t="s">
        <v>2</v>
      </c>
      <c r="C52" s="29" t="s">
        <v>262</v>
      </c>
      <c r="D52" s="29" t="s">
        <v>158</v>
      </c>
      <c r="E52" s="29" t="s">
        <v>263</v>
      </c>
      <c r="F52" s="24" t="s">
        <v>119</v>
      </c>
      <c r="G52" s="29" t="s">
        <v>16</v>
      </c>
      <c r="H52" s="29">
        <v>400</v>
      </c>
      <c r="I52" s="29">
        <v>400</v>
      </c>
      <c r="J52" s="29">
        <v>85</v>
      </c>
      <c r="K52" s="29" t="s">
        <v>158</v>
      </c>
      <c r="L52" s="29" t="s">
        <v>264</v>
      </c>
      <c r="M52" s="29" t="s">
        <v>263</v>
      </c>
      <c r="N52" s="29" t="s">
        <v>265</v>
      </c>
      <c r="O52" s="32">
        <v>1</v>
      </c>
      <c r="P52" s="25"/>
      <c r="Q52" s="29">
        <v>85</v>
      </c>
      <c r="R52" s="31">
        <v>315</v>
      </c>
      <c r="S52" s="43" t="str">
        <f>IF(SUMPRODUCT((fo_makara[[#Headers],[MAKARA NO]]=fo_124[[#This Row],[Makara Numarası]])*(fo_makara[[#Headers],[KALAN]]&lt;0))&gt;0,
    "HATA VAR",
    "")</f>
        <v/>
      </c>
      <c r="T5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3" spans="1:21" x14ac:dyDescent="0.3">
      <c r="A53" s="39">
        <v>45981</v>
      </c>
      <c r="B53" s="23" t="s">
        <v>2</v>
      </c>
      <c r="C53" s="29" t="s">
        <v>276</v>
      </c>
      <c r="D53" s="29" t="s">
        <v>158</v>
      </c>
      <c r="E53" s="29" t="s">
        <v>277</v>
      </c>
      <c r="F53" s="29" t="s">
        <v>67</v>
      </c>
      <c r="G53" s="29" t="s">
        <v>17</v>
      </c>
      <c r="H53" s="29">
        <v>2480</v>
      </c>
      <c r="I53" s="29">
        <v>2480</v>
      </c>
      <c r="J53" s="29">
        <v>1990</v>
      </c>
      <c r="K53" s="29" t="s">
        <v>158</v>
      </c>
      <c r="L53" s="29" t="s">
        <v>265</v>
      </c>
      <c r="M53" s="29" t="s">
        <v>277</v>
      </c>
      <c r="N53" s="29" t="s">
        <v>278</v>
      </c>
      <c r="O53" s="32">
        <v>1</v>
      </c>
      <c r="P53" s="25"/>
      <c r="Q53" s="29">
        <v>1990</v>
      </c>
      <c r="R53" s="31">
        <v>490</v>
      </c>
      <c r="S53" s="43" t="str">
        <f>IF(SUMPRODUCT((fo_makara[[#Headers],[MAKARA NO]]=fo_124[[#This Row],[Makara Numarası]])*(fo_makara[[#Headers],[KALAN]]&lt;0))&gt;0,
    "HATA VAR",
    "")</f>
        <v/>
      </c>
      <c r="T5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4" spans="1:21" x14ac:dyDescent="0.3">
      <c r="A54" s="39">
        <v>45981</v>
      </c>
      <c r="B54" s="23" t="s">
        <v>2</v>
      </c>
      <c r="C54" s="29" t="s">
        <v>279</v>
      </c>
      <c r="D54" s="29" t="s">
        <v>277</v>
      </c>
      <c r="E54" s="29" t="s">
        <v>280</v>
      </c>
      <c r="F54" s="29" t="s">
        <v>67</v>
      </c>
      <c r="G54" s="29" t="s">
        <v>17</v>
      </c>
      <c r="H54" s="29">
        <v>1990</v>
      </c>
      <c r="I54" s="29">
        <v>1990</v>
      </c>
      <c r="J54" s="29">
        <v>1535</v>
      </c>
      <c r="K54" s="29" t="s">
        <v>277</v>
      </c>
      <c r="L54" s="29" t="s">
        <v>278</v>
      </c>
      <c r="M54" s="29" t="s">
        <v>280</v>
      </c>
      <c r="N54" s="29" t="s">
        <v>281</v>
      </c>
      <c r="O54" s="32">
        <v>1</v>
      </c>
      <c r="P54" s="25"/>
      <c r="Q54" s="29">
        <v>1535</v>
      </c>
      <c r="R54" s="31">
        <v>455</v>
      </c>
      <c r="S54" s="43" t="str">
        <f>IF(SUMPRODUCT((fo_makara[[#Headers],[MAKARA NO]]=fo_124[[#This Row],[Makara Numarası]])*(fo_makara[[#Headers],[KALAN]]&lt;0))&gt;0,
    "HATA VAR",
    "")</f>
        <v/>
      </c>
      <c r="T5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5" spans="1:21" x14ac:dyDescent="0.3">
      <c r="A55" s="39">
        <v>45981</v>
      </c>
      <c r="B55" s="23" t="s">
        <v>2</v>
      </c>
      <c r="C55" s="29" t="s">
        <v>282</v>
      </c>
      <c r="D55" s="29" t="s">
        <v>283</v>
      </c>
      <c r="E55" s="29" t="s">
        <v>284</v>
      </c>
      <c r="F55" s="29" t="s">
        <v>67</v>
      </c>
      <c r="G55" s="29" t="s">
        <v>17</v>
      </c>
      <c r="H55" s="29">
        <v>1535</v>
      </c>
      <c r="I55" s="29">
        <v>1535</v>
      </c>
      <c r="J55" s="29">
        <v>1390</v>
      </c>
      <c r="K55" s="29" t="s">
        <v>283</v>
      </c>
      <c r="L55" s="29" t="s">
        <v>281</v>
      </c>
      <c r="M55" s="29" t="s">
        <v>284</v>
      </c>
      <c r="N55" s="29" t="s">
        <v>1</v>
      </c>
      <c r="O55" s="32">
        <v>1</v>
      </c>
      <c r="P55" s="25"/>
      <c r="Q55" s="29">
        <v>1390</v>
      </c>
      <c r="R55" s="31">
        <v>145</v>
      </c>
      <c r="S55" s="43" t="str">
        <f>IF(SUMPRODUCT((fo_makara[[#Headers],[MAKARA NO]]=fo_124[[#This Row],[Makara Numarası]])*(fo_makara[[#Headers],[KALAN]]&lt;0))&gt;0,
    "HATA VAR",
    "")</f>
        <v/>
      </c>
      <c r="T5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6" spans="1:21" x14ac:dyDescent="0.3">
      <c r="A56" s="39">
        <v>45980</v>
      </c>
      <c r="B56" s="23" t="s">
        <v>2</v>
      </c>
      <c r="C56" s="29" t="s">
        <v>266</v>
      </c>
      <c r="D56" s="29" t="s">
        <v>267</v>
      </c>
      <c r="E56" s="29" t="s">
        <v>268</v>
      </c>
      <c r="F56" s="29" t="s">
        <v>119</v>
      </c>
      <c r="G56" s="29" t="s">
        <v>162</v>
      </c>
      <c r="H56" s="29">
        <v>180</v>
      </c>
      <c r="I56" s="29">
        <v>180</v>
      </c>
      <c r="J56" s="29">
        <v>50</v>
      </c>
      <c r="K56" s="29" t="s">
        <v>268</v>
      </c>
      <c r="L56" s="29" t="s">
        <v>1</v>
      </c>
      <c r="M56" s="29" t="s">
        <v>267</v>
      </c>
      <c r="N56" s="29" t="s">
        <v>269</v>
      </c>
      <c r="O56" s="32">
        <v>1</v>
      </c>
      <c r="P56" s="25"/>
      <c r="Q56" s="29">
        <v>50</v>
      </c>
      <c r="R56" s="31">
        <v>130</v>
      </c>
      <c r="S56" s="43" t="str">
        <f>IF(SUMPRODUCT((fo_makara[[#Headers],[MAKARA NO]]=fo_124[[#This Row],[Makara Numarası]])*(fo_makara[[#Headers],[KALAN]]&lt;0))&gt;0,
    "HATA VAR",
    "")</f>
        <v/>
      </c>
      <c r="T5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7" spans="1:21" x14ac:dyDescent="0.3">
      <c r="A57" s="39">
        <v>45989</v>
      </c>
      <c r="B57" s="23" t="s">
        <v>294</v>
      </c>
      <c r="C57" s="29" t="s">
        <v>300</v>
      </c>
      <c r="D57" s="29" t="s">
        <v>268</v>
      </c>
      <c r="E57" s="29" t="s">
        <v>134</v>
      </c>
      <c r="F57" s="29" t="s">
        <v>119</v>
      </c>
      <c r="G57" s="29" t="s">
        <v>18</v>
      </c>
      <c r="H57" s="29">
        <v>4156</v>
      </c>
      <c r="I57" s="29">
        <v>4156</v>
      </c>
      <c r="J57" s="29">
        <v>2984</v>
      </c>
      <c r="K57" s="29" t="s">
        <v>268</v>
      </c>
      <c r="L57" s="29" t="s">
        <v>269</v>
      </c>
      <c r="M57" s="29" t="s">
        <v>134</v>
      </c>
      <c r="N57" s="29" t="s">
        <v>299</v>
      </c>
      <c r="O57" s="32">
        <v>1</v>
      </c>
      <c r="P57" s="25"/>
      <c r="Q57" s="29">
        <v>2984</v>
      </c>
      <c r="R57" s="31">
        <v>1172</v>
      </c>
      <c r="S57" s="43" t="str">
        <f>IF(SUMPRODUCT((fo_makara[[#Headers],[MAKARA NO]]=fo_124[[#This Row],[Makara Numarası]])*(fo_makara[[#Headers],[KALAN]]&lt;0))&gt;0,
    "HATA VAR",
    "")</f>
        <v/>
      </c>
      <c r="T5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8" spans="1:21" x14ac:dyDescent="0.3">
      <c r="A58" s="39">
        <v>45989</v>
      </c>
      <c r="B58" s="23" t="s">
        <v>294</v>
      </c>
      <c r="C58" s="29" t="s">
        <v>298</v>
      </c>
      <c r="D58" s="29" t="s">
        <v>296</v>
      </c>
      <c r="E58" s="29" t="s">
        <v>134</v>
      </c>
      <c r="F58" s="29" t="s">
        <v>67</v>
      </c>
      <c r="G58" s="29" t="s">
        <v>19</v>
      </c>
      <c r="H58" s="29">
        <v>1615</v>
      </c>
      <c r="I58" s="29">
        <v>1615</v>
      </c>
      <c r="J58" s="29">
        <v>1485</v>
      </c>
      <c r="K58" s="29" t="s">
        <v>134</v>
      </c>
      <c r="L58" s="29" t="s">
        <v>299</v>
      </c>
      <c r="M58" s="29" t="s">
        <v>296</v>
      </c>
      <c r="N58" s="29" t="s">
        <v>297</v>
      </c>
      <c r="O58" s="32">
        <v>1</v>
      </c>
      <c r="P58" s="25"/>
      <c r="Q58" s="29">
        <v>1485</v>
      </c>
      <c r="R58" s="31">
        <v>130</v>
      </c>
      <c r="S58" s="43" t="str">
        <f>IF(SUMPRODUCT((fo_makara[[#Headers],[MAKARA NO]]=fo_124[[#This Row],[Makara Numarası]])*(fo_makara[[#Headers],[KALAN]]&lt;0))&gt;0,
    "HATA VAR",
    "")</f>
        <v/>
      </c>
      <c r="T5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59" spans="1:21" x14ac:dyDescent="0.3">
      <c r="A59" s="39">
        <v>45989</v>
      </c>
      <c r="B59" s="23" t="s">
        <v>294</v>
      </c>
      <c r="C59" s="29" t="s">
        <v>295</v>
      </c>
      <c r="D59" s="29" t="s">
        <v>291</v>
      </c>
      <c r="E59" s="29" t="s">
        <v>296</v>
      </c>
      <c r="F59" s="29" t="s">
        <v>67</v>
      </c>
      <c r="G59" s="29" t="s">
        <v>19</v>
      </c>
      <c r="H59" s="29">
        <v>1915</v>
      </c>
      <c r="I59" s="29">
        <v>1915</v>
      </c>
      <c r="J59" s="29">
        <v>1615</v>
      </c>
      <c r="K59" s="29" t="s">
        <v>296</v>
      </c>
      <c r="L59" s="29" t="s">
        <v>297</v>
      </c>
      <c r="M59" s="29" t="s">
        <v>291</v>
      </c>
      <c r="N59" s="29" t="s">
        <v>293</v>
      </c>
      <c r="O59" s="32">
        <v>1</v>
      </c>
      <c r="P59" s="25"/>
      <c r="Q59" s="29">
        <v>1615</v>
      </c>
      <c r="R59" s="31">
        <v>300</v>
      </c>
      <c r="S59" s="43" t="str">
        <f>IF(SUMPRODUCT((fo_makara[[#Headers],[MAKARA NO]]=fo_124[[#This Row],[Makara Numarası]])*(fo_makara[[#Headers],[KALAN]]&lt;0))&gt;0,
    "HATA VAR",
    "")</f>
        <v/>
      </c>
      <c r="T5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5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0" spans="1:21" x14ac:dyDescent="0.3">
      <c r="A60" s="39">
        <v>45989</v>
      </c>
      <c r="B60" s="23" t="s">
        <v>2</v>
      </c>
      <c r="C60" s="29" t="s">
        <v>289</v>
      </c>
      <c r="D60" s="29" t="s">
        <v>290</v>
      </c>
      <c r="E60" s="29" t="s">
        <v>291</v>
      </c>
      <c r="F60" s="29" t="s">
        <v>67</v>
      </c>
      <c r="G60" s="29" t="s">
        <v>19</v>
      </c>
      <c r="H60" s="29">
        <v>2238</v>
      </c>
      <c r="I60" s="29">
        <v>2238</v>
      </c>
      <c r="J60" s="29">
        <v>1915</v>
      </c>
      <c r="K60" s="29" t="s">
        <v>291</v>
      </c>
      <c r="L60" s="29" t="s">
        <v>293</v>
      </c>
      <c r="M60" s="29" t="s">
        <v>290</v>
      </c>
      <c r="N60" s="29" t="s">
        <v>292</v>
      </c>
      <c r="O60" s="32">
        <v>1</v>
      </c>
      <c r="P60" s="25"/>
      <c r="Q60" s="29">
        <v>1915</v>
      </c>
      <c r="R60" s="31">
        <v>323</v>
      </c>
      <c r="S60" s="43" t="str">
        <f>IF(SUMPRODUCT((fo_makara[[#Headers],[MAKARA NO]]=fo_124[[#This Row],[Makara Numarası]])*(fo_makara[[#Headers],[KALAN]]&lt;0))&gt;0,
    "HATA VAR",
    "")</f>
        <v/>
      </c>
      <c r="T6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1" spans="1:21" x14ac:dyDescent="0.3">
      <c r="A61" s="39">
        <v>45990</v>
      </c>
      <c r="B61" s="23" t="s">
        <v>294</v>
      </c>
      <c r="C61" s="29" t="s">
        <v>320</v>
      </c>
      <c r="D61" s="29" t="s">
        <v>290</v>
      </c>
      <c r="E61" s="29" t="s">
        <v>286</v>
      </c>
      <c r="F61" s="29" t="s">
        <v>119</v>
      </c>
      <c r="G61" s="29" t="s">
        <v>20</v>
      </c>
      <c r="H61" s="29">
        <v>147</v>
      </c>
      <c r="I61" s="29">
        <v>147</v>
      </c>
      <c r="J61" s="29">
        <v>0</v>
      </c>
      <c r="K61" s="29" t="s">
        <v>290</v>
      </c>
      <c r="L61" s="29" t="s">
        <v>292</v>
      </c>
      <c r="M61" s="29" t="s">
        <v>321</v>
      </c>
      <c r="N61" s="29" t="s">
        <v>288</v>
      </c>
      <c r="O61" s="32">
        <v>1</v>
      </c>
      <c r="P61" s="25"/>
      <c r="Q61" s="29">
        <v>0</v>
      </c>
      <c r="R61" s="31">
        <v>147</v>
      </c>
      <c r="S61" s="43" t="str">
        <f>IF(SUMPRODUCT((fo_makara[[#Headers],[MAKARA NO]]=fo_124[[#This Row],[Makara Numarası]])*(fo_makara[[#Headers],[KALAN]]&lt;0))&gt;0,
    "HATA VAR",
    "")</f>
        <v/>
      </c>
      <c r="T61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1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2" spans="1:21" x14ac:dyDescent="0.3">
      <c r="A62" s="39">
        <v>45989</v>
      </c>
      <c r="B62" s="23" t="s">
        <v>2</v>
      </c>
      <c r="C62" s="29" t="s">
        <v>285</v>
      </c>
      <c r="D62" s="29" t="s">
        <v>118</v>
      </c>
      <c r="E62" s="29" t="s">
        <v>286</v>
      </c>
      <c r="F62" s="29" t="s">
        <v>67</v>
      </c>
      <c r="G62" s="29" t="s">
        <v>19</v>
      </c>
      <c r="H62" s="29">
        <v>2380</v>
      </c>
      <c r="I62" s="29">
        <v>2380</v>
      </c>
      <c r="J62" s="29">
        <v>2238</v>
      </c>
      <c r="K62" s="29" t="s">
        <v>286</v>
      </c>
      <c r="L62" s="29" t="s">
        <v>288</v>
      </c>
      <c r="M62" s="29" t="s">
        <v>118</v>
      </c>
      <c r="N62" s="29" t="s">
        <v>287</v>
      </c>
      <c r="O62" s="32">
        <v>1</v>
      </c>
      <c r="P62" s="25"/>
      <c r="Q62" s="29">
        <v>2238</v>
      </c>
      <c r="R62" s="31">
        <v>142</v>
      </c>
      <c r="S62" s="43" t="str">
        <f>IF(SUMPRODUCT((fo_makara[[#Headers],[MAKARA NO]]=fo_124[[#This Row],[Makara Numarası]])*(fo_makara[[#Headers],[KALAN]]&lt;0))&gt;0,
    "HATA VAR",
    "")</f>
        <v/>
      </c>
      <c r="T62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2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3" spans="1:21" x14ac:dyDescent="0.3">
      <c r="A63" s="39">
        <v>45990</v>
      </c>
      <c r="B63" s="23" t="s">
        <v>294</v>
      </c>
      <c r="C63" s="29" t="s">
        <v>327</v>
      </c>
      <c r="D63" s="29" t="s">
        <v>158</v>
      </c>
      <c r="E63" s="29" t="s">
        <v>118</v>
      </c>
      <c r="F63" s="29" t="s">
        <v>119</v>
      </c>
      <c r="G63" s="29" t="s">
        <v>18</v>
      </c>
      <c r="H63" s="29">
        <v>1435</v>
      </c>
      <c r="I63" s="29">
        <v>1435</v>
      </c>
      <c r="J63" s="29">
        <v>95</v>
      </c>
      <c r="K63" s="29" t="s">
        <v>328</v>
      </c>
      <c r="L63" s="29" t="s">
        <v>287</v>
      </c>
      <c r="M63" s="29" t="s">
        <v>325</v>
      </c>
      <c r="N63" s="29" t="s">
        <v>326</v>
      </c>
      <c r="O63" s="32">
        <v>1</v>
      </c>
      <c r="P63" s="25"/>
      <c r="Q63" s="29">
        <v>95</v>
      </c>
      <c r="R63" s="31">
        <v>1340</v>
      </c>
      <c r="S63" s="43" t="str">
        <f>IF(SUMPRODUCT((fo_makara[[#Headers],[MAKARA NO]]=fo_124[[#This Row],[Makara Numarası]])*(fo_makara[[#Headers],[KALAN]]&lt;0))&gt;0,
    "HATA VAR",
    "")</f>
        <v/>
      </c>
      <c r="T63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3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4" spans="1:21" x14ac:dyDescent="0.3">
      <c r="A64" s="39">
        <v>45990</v>
      </c>
      <c r="B64" s="23" t="s">
        <v>294</v>
      </c>
      <c r="C64" s="29" t="s">
        <v>322</v>
      </c>
      <c r="D64" s="29" t="s">
        <v>323</v>
      </c>
      <c r="E64" s="29" t="s">
        <v>158</v>
      </c>
      <c r="F64" s="29" t="s">
        <v>119</v>
      </c>
      <c r="G64" s="29" t="s">
        <v>18</v>
      </c>
      <c r="H64" s="29">
        <v>1550</v>
      </c>
      <c r="I64" s="29">
        <v>1550</v>
      </c>
      <c r="J64" s="29">
        <v>1435</v>
      </c>
      <c r="K64" s="29" t="s">
        <v>325</v>
      </c>
      <c r="L64" s="29" t="s">
        <v>326</v>
      </c>
      <c r="M64" s="29" t="s">
        <v>323</v>
      </c>
      <c r="N64" s="29" t="s">
        <v>324</v>
      </c>
      <c r="O64" s="32">
        <v>1</v>
      </c>
      <c r="P64" s="25"/>
      <c r="Q64" s="29">
        <v>1435</v>
      </c>
      <c r="R64" s="31">
        <v>115</v>
      </c>
      <c r="S64" s="43" t="str">
        <f>IF(SUMPRODUCT((fo_makara[[#Headers],[MAKARA NO]]=fo_124[[#This Row],[Makara Numarası]])*(fo_makara[[#Headers],[KALAN]]&lt;0))&gt;0,
    "HATA VAR",
    "")</f>
        <v/>
      </c>
      <c r="T64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4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5" spans="1:21" x14ac:dyDescent="0.3">
      <c r="A65" s="39">
        <v>45990</v>
      </c>
      <c r="B65" s="23" t="s">
        <v>294</v>
      </c>
      <c r="C65" s="29" t="s">
        <v>329</v>
      </c>
      <c r="D65" s="29" t="s">
        <v>323</v>
      </c>
      <c r="E65" s="29" t="s">
        <v>302</v>
      </c>
      <c r="F65" s="29" t="s">
        <v>67</v>
      </c>
      <c r="G65" s="29" t="s">
        <v>304</v>
      </c>
      <c r="H65" s="29">
        <v>4084</v>
      </c>
      <c r="I65" s="29">
        <v>4084</v>
      </c>
      <c r="J65" s="29">
        <v>3710</v>
      </c>
      <c r="K65" s="29" t="s">
        <v>323</v>
      </c>
      <c r="L65" s="29" t="s">
        <v>324</v>
      </c>
      <c r="M65" s="29" t="s">
        <v>302</v>
      </c>
      <c r="N65" s="29" t="s">
        <v>305</v>
      </c>
      <c r="O65" s="32">
        <v>1</v>
      </c>
      <c r="P65" s="25"/>
      <c r="Q65" s="29">
        <v>3710</v>
      </c>
      <c r="R65" s="31">
        <v>374</v>
      </c>
      <c r="S65" s="43" t="str">
        <f>IF(SUMPRODUCT((fo_makara[[#Headers],[MAKARA NO]]=fo_124[[#This Row],[Makara Numarası]])*(fo_makara[[#Headers],[KALAN]]&lt;0))&gt;0,
    "HATA VAR",
    "")</f>
        <v/>
      </c>
      <c r="T65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5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6" spans="1:21" x14ac:dyDescent="0.3">
      <c r="A66" s="39">
        <v>45990</v>
      </c>
      <c r="B66" s="23" t="s">
        <v>294</v>
      </c>
      <c r="C66" s="29" t="s">
        <v>301</v>
      </c>
      <c r="D66" s="29" t="s">
        <v>302</v>
      </c>
      <c r="E66" s="29" t="s">
        <v>303</v>
      </c>
      <c r="F66" s="29" t="s">
        <v>67</v>
      </c>
      <c r="G66" s="29" t="s">
        <v>304</v>
      </c>
      <c r="H66" s="29">
        <v>3710</v>
      </c>
      <c r="I66" s="29">
        <v>3710</v>
      </c>
      <c r="J66" s="29">
        <v>3320</v>
      </c>
      <c r="K66" s="29" t="s">
        <v>302</v>
      </c>
      <c r="L66" s="29" t="s">
        <v>305</v>
      </c>
      <c r="M66" s="29" t="s">
        <v>303</v>
      </c>
      <c r="N66" s="29" t="s">
        <v>306</v>
      </c>
      <c r="O66" s="32">
        <v>1</v>
      </c>
      <c r="P66" s="25"/>
      <c r="Q66" s="29">
        <v>3320</v>
      </c>
      <c r="R66" s="31">
        <v>390</v>
      </c>
      <c r="S66" s="43" t="str">
        <f>IF(SUMPRODUCT((fo_makara[[#Headers],[MAKARA NO]]=fo_124[[#This Row],[Makara Numarası]])*(fo_makara[[#Headers],[KALAN]]&lt;0))&gt;0,
    "HATA VAR",
    "")</f>
        <v/>
      </c>
      <c r="T66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6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7" spans="1:21" x14ac:dyDescent="0.3">
      <c r="A67" s="39">
        <v>45990</v>
      </c>
      <c r="B67" s="23" t="s">
        <v>294</v>
      </c>
      <c r="C67" s="29" t="s">
        <v>307</v>
      </c>
      <c r="D67" s="29" t="s">
        <v>302</v>
      </c>
      <c r="E67" s="29" t="s">
        <v>308</v>
      </c>
      <c r="F67" s="29" t="s">
        <v>67</v>
      </c>
      <c r="G67" s="29" t="s">
        <v>304</v>
      </c>
      <c r="H67" s="29">
        <v>3320</v>
      </c>
      <c r="I67" s="29">
        <v>3320</v>
      </c>
      <c r="J67" s="29">
        <v>2935</v>
      </c>
      <c r="K67" s="29" t="s">
        <v>302</v>
      </c>
      <c r="L67" s="29" t="s">
        <v>306</v>
      </c>
      <c r="M67" s="29" t="s">
        <v>308</v>
      </c>
      <c r="N67" s="29" t="s">
        <v>309</v>
      </c>
      <c r="O67" s="32">
        <v>1</v>
      </c>
      <c r="P67" s="25"/>
      <c r="Q67" s="29">
        <v>2935</v>
      </c>
      <c r="R67" s="31">
        <v>385</v>
      </c>
      <c r="S67" s="43" t="str">
        <f>IF(SUMPRODUCT((fo_makara[[#Headers],[MAKARA NO]]=fo_124[[#This Row],[Makara Numarası]])*(fo_makara[[#Headers],[KALAN]]&lt;0))&gt;0,
    "HATA VAR",
    "")</f>
        <v/>
      </c>
      <c r="T67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7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8" spans="1:21" x14ac:dyDescent="0.3">
      <c r="A68" s="39">
        <v>45990</v>
      </c>
      <c r="B68" s="23" t="s">
        <v>294</v>
      </c>
      <c r="C68" s="29" t="s">
        <v>310</v>
      </c>
      <c r="D68" s="29" t="s">
        <v>308</v>
      </c>
      <c r="E68" s="29" t="s">
        <v>311</v>
      </c>
      <c r="F68" s="29" t="s">
        <v>67</v>
      </c>
      <c r="G68" s="29" t="s">
        <v>304</v>
      </c>
      <c r="H68" s="29">
        <v>2935</v>
      </c>
      <c r="I68" s="29">
        <v>2935</v>
      </c>
      <c r="J68" s="29">
        <v>2745</v>
      </c>
      <c r="K68" s="29" t="s">
        <v>308</v>
      </c>
      <c r="L68" s="29" t="s">
        <v>309</v>
      </c>
      <c r="M68" s="29" t="s">
        <v>312</v>
      </c>
      <c r="N68" s="29" t="s">
        <v>313</v>
      </c>
      <c r="O68" s="32">
        <v>1</v>
      </c>
      <c r="P68" s="25"/>
      <c r="Q68" s="29">
        <v>2745</v>
      </c>
      <c r="R68" s="31">
        <v>190</v>
      </c>
      <c r="S68" s="43" t="str">
        <f>IF(SUMPRODUCT((fo_makara[[#Headers],[MAKARA NO]]=fo_124[[#This Row],[Makara Numarası]])*(fo_makara[[#Headers],[KALAN]]&lt;0))&gt;0,
    "HATA VAR",
    "")</f>
        <v/>
      </c>
      <c r="T68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8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69" spans="1:21" x14ac:dyDescent="0.3">
      <c r="A69" s="39">
        <v>45990</v>
      </c>
      <c r="B69" s="23" t="s">
        <v>294</v>
      </c>
      <c r="C69" s="29" t="s">
        <v>314</v>
      </c>
      <c r="D69" s="29" t="s">
        <v>311</v>
      </c>
      <c r="E69" s="29" t="s">
        <v>163</v>
      </c>
      <c r="F69" s="29" t="s">
        <v>67</v>
      </c>
      <c r="G69" s="29" t="s">
        <v>304</v>
      </c>
      <c r="H69" s="29">
        <v>2745</v>
      </c>
      <c r="I69" s="29">
        <v>2745</v>
      </c>
      <c r="J69" s="29">
        <v>2615</v>
      </c>
      <c r="K69" s="29" t="s">
        <v>312</v>
      </c>
      <c r="L69" s="29" t="s">
        <v>313</v>
      </c>
      <c r="M69" s="29" t="s">
        <v>256</v>
      </c>
      <c r="N69" s="29" t="s">
        <v>315</v>
      </c>
      <c r="O69" s="32">
        <v>1</v>
      </c>
      <c r="P69" s="25"/>
      <c r="Q69" s="29">
        <v>2615</v>
      </c>
      <c r="R69" s="31">
        <v>130</v>
      </c>
      <c r="S69" s="43" t="str">
        <f>IF(SUMPRODUCT((fo_makara[[#Headers],[MAKARA NO]]=fo_124[[#This Row],[Makara Numarası]])*(fo_makara[[#Headers],[KALAN]]&lt;0))&gt;0,
    "HATA VAR",
    "")</f>
        <v/>
      </c>
      <c r="T69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69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70" spans="1:21" x14ac:dyDescent="0.3">
      <c r="A70" s="39">
        <v>45990</v>
      </c>
      <c r="B70" s="23" t="s">
        <v>294</v>
      </c>
      <c r="C70" s="29" t="s">
        <v>316</v>
      </c>
      <c r="D70" s="29" t="s">
        <v>256</v>
      </c>
      <c r="E70" s="29" t="s">
        <v>317</v>
      </c>
      <c r="F70" s="29" t="s">
        <v>119</v>
      </c>
      <c r="G70" s="29" t="s">
        <v>318</v>
      </c>
      <c r="H70" s="29">
        <v>3411</v>
      </c>
      <c r="I70" s="29">
        <v>3411</v>
      </c>
      <c r="J70" s="29">
        <v>2665</v>
      </c>
      <c r="K70" s="29" t="s">
        <v>256</v>
      </c>
      <c r="L70" s="29" t="s">
        <v>315</v>
      </c>
      <c r="M70" s="29" t="s">
        <v>317</v>
      </c>
      <c r="N70" s="29" t="s">
        <v>319</v>
      </c>
      <c r="O70" s="32">
        <v>1</v>
      </c>
      <c r="P70" s="25"/>
      <c r="Q70" s="29">
        <v>2665</v>
      </c>
      <c r="R70" s="31">
        <v>746</v>
      </c>
      <c r="S70" s="43" t="str">
        <f>IF(SUMPRODUCT((fo_makara[[#Headers],[MAKARA NO]]=fo_124[[#This Row],[Makara Numarası]])*(fo_makara[[#Headers],[KALAN]]&lt;0))&gt;0,
    "HATA VAR",
    "")</f>
        <v/>
      </c>
      <c r="T70" s="4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70" s="4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71" spans="1:21" x14ac:dyDescent="0.3">
      <c r="A71" s="88">
        <v>45994</v>
      </c>
      <c r="B71" s="89" t="s">
        <v>294</v>
      </c>
      <c r="C71" s="90" t="s">
        <v>828</v>
      </c>
      <c r="D71" s="90" t="s">
        <v>317</v>
      </c>
      <c r="E71" s="90" t="s">
        <v>829</v>
      </c>
      <c r="F71" s="90" t="s">
        <v>67</v>
      </c>
      <c r="G71" s="90" t="s">
        <v>19</v>
      </c>
      <c r="H71" s="90">
        <v>700</v>
      </c>
      <c r="I71" s="90">
        <v>700</v>
      </c>
      <c r="J71" s="90">
        <v>0</v>
      </c>
      <c r="K71" s="90" t="s">
        <v>317</v>
      </c>
      <c r="L71" s="90" t="s">
        <v>319</v>
      </c>
      <c r="M71" s="90" t="s">
        <v>829</v>
      </c>
      <c r="N71" s="90" t="s">
        <v>830</v>
      </c>
      <c r="O71" s="32">
        <v>1</v>
      </c>
      <c r="P71" s="91"/>
      <c r="Q71" s="90">
        <v>0</v>
      </c>
      <c r="R71" s="92">
        <v>700</v>
      </c>
      <c r="S71" s="93" t="str">
        <f>IF(SUMPRODUCT((fo_makara[[#Headers],[MAKARA NO]]=fo_124[[#This Row],[Makara Numarası]])*(fo_makara[[#Headers],[KALAN]]&lt;0))&gt;0,
    "HATA VAR",
    "")</f>
        <v/>
      </c>
      <c r="T71" s="9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71" s="9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72" spans="1:21" x14ac:dyDescent="0.3">
      <c r="A72" s="39">
        <v>45994</v>
      </c>
      <c r="B72" s="23" t="s">
        <v>294</v>
      </c>
      <c r="C72" s="29" t="s">
        <v>831</v>
      </c>
      <c r="D72" s="29" t="s">
        <v>832</v>
      </c>
      <c r="E72" s="29" t="s">
        <v>829</v>
      </c>
      <c r="F72" s="29" t="s">
        <v>67</v>
      </c>
      <c r="G72" s="29" t="s">
        <v>528</v>
      </c>
      <c r="H72" s="29">
        <v>4046</v>
      </c>
      <c r="I72" s="29">
        <v>4046</v>
      </c>
      <c r="J72" s="29">
        <v>3545</v>
      </c>
      <c r="K72" s="29" t="s">
        <v>832</v>
      </c>
      <c r="L72" s="29" t="s">
        <v>830</v>
      </c>
      <c r="M72" s="29" t="s">
        <v>829</v>
      </c>
      <c r="N72" s="29" t="s">
        <v>833</v>
      </c>
      <c r="O72" s="32">
        <v>1</v>
      </c>
      <c r="P72" s="25"/>
      <c r="Q72" s="29">
        <v>3545</v>
      </c>
      <c r="R72" s="31">
        <v>501</v>
      </c>
      <c r="S72" s="87" t="str">
        <f>IF(SUMPRODUCT((fo_makara[[#Headers],[MAKARA NO]]=fo_124[[#This Row],[Makara Numarası]])*(fo_makara[[#Headers],[KALAN]]&lt;0))&gt;0,
    "HATA VAR",
    "")</f>
        <v/>
      </c>
      <c r="T72" s="87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72" s="87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73" spans="1:21" x14ac:dyDescent="0.3">
      <c r="A73" s="88">
        <v>45994</v>
      </c>
      <c r="B73" s="89" t="s">
        <v>294</v>
      </c>
      <c r="C73" s="90" t="s">
        <v>834</v>
      </c>
      <c r="D73" s="90" t="s">
        <v>379</v>
      </c>
      <c r="E73" s="90" t="s">
        <v>835</v>
      </c>
      <c r="F73" s="90" t="s">
        <v>67</v>
      </c>
      <c r="G73" s="90" t="s">
        <v>528</v>
      </c>
      <c r="H73" s="90">
        <v>3545</v>
      </c>
      <c r="I73" s="90">
        <v>3545</v>
      </c>
      <c r="J73" s="90">
        <v>2850</v>
      </c>
      <c r="K73" s="90" t="s">
        <v>379</v>
      </c>
      <c r="L73" s="90" t="s">
        <v>836</v>
      </c>
      <c r="M73" s="90" t="s">
        <v>835</v>
      </c>
      <c r="N73" s="90" t="s">
        <v>837</v>
      </c>
      <c r="O73" s="32">
        <v>1</v>
      </c>
      <c r="P73" s="91"/>
      <c r="Q73" s="90">
        <v>2850</v>
      </c>
      <c r="R73" s="92">
        <v>695</v>
      </c>
      <c r="S73" s="93" t="str">
        <f>IF(SUMPRODUCT((fo_makara[[#Headers],[MAKARA NO]]=fo_124[[#This Row],[Makara Numarası]])*(fo_makara[[#Headers],[KALAN]]&lt;0))&gt;0,
    "HATA VAR",
    "")</f>
        <v/>
      </c>
      <c r="T73" s="9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73" s="9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  <row r="74" spans="1:21" x14ac:dyDescent="0.3">
      <c r="A74" s="88">
        <v>45994</v>
      </c>
      <c r="B74" s="89" t="s">
        <v>294</v>
      </c>
      <c r="C74" s="90" t="s">
        <v>838</v>
      </c>
      <c r="D74" s="90" t="s">
        <v>832</v>
      </c>
      <c r="E74" s="90" t="s">
        <v>450</v>
      </c>
      <c r="F74" s="90" t="s">
        <v>67</v>
      </c>
      <c r="G74" s="90" t="s">
        <v>528</v>
      </c>
      <c r="H74" s="90">
        <v>2430</v>
      </c>
      <c r="I74" s="90">
        <v>2430</v>
      </c>
      <c r="J74" s="90">
        <v>1915</v>
      </c>
      <c r="K74" s="90" t="s">
        <v>832</v>
      </c>
      <c r="L74" s="90" t="s">
        <v>833</v>
      </c>
      <c r="M74" s="90" t="s">
        <v>450</v>
      </c>
      <c r="N74" s="90" t="s">
        <v>839</v>
      </c>
      <c r="O74" s="32">
        <v>1</v>
      </c>
      <c r="P74" s="91"/>
      <c r="Q74" s="90">
        <v>1915</v>
      </c>
      <c r="R74" s="92">
        <v>515</v>
      </c>
      <c r="S74" s="93" t="str">
        <f>IF(SUMPRODUCT((fo_makara[[#Headers],[MAKARA NO]]=fo_124[[#This Row],[Makara Numarası]])*(fo_makara[[#Headers],[KALAN]]&lt;0))&gt;0,
    "HATA VAR",
    "")</f>
        <v/>
      </c>
      <c r="T74" s="93" t="str">
        <f>IFERROR(
   IF(
      --LEFT(fo_124[[#This Row],[Kablo Tipi]],FIND(" ",fo_124[[#This Row],[Kablo Tipi]])-1)
      &lt;&gt;
      INDEX(fo_makara[CORE],
            MATCH(fo_124[[#This Row],[Makara Numarası]], fo_makara[MAKARA NO], 0)
      ),
      "HATA VAR",
      ""
   ),
"HATA VAR")</f>
        <v/>
      </c>
      <c r="U74" s="93" t="str">
        <f>IFERROR(
   IF(
      IFERROR(FIND("(H)",fo_124[[#This Row],[Kablo Tipi]]),0)&gt;0
      &lt;&gt;
      (INDEX(fo_makara[KABLO CİNSİ],
             MATCH(fo_124[[#This Row],[Makara Numarası]],fo_makara[MAKARA NO],0)
       )="A-DQ"),
      "HATA VAR",
      ""
   ),
"HATA VAR")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EAC-A482-4647-A1FD-9B2FA1C362DC}">
  <dimension ref="A1:U32"/>
  <sheetViews>
    <sheetView topLeftCell="A8" zoomScale="69" workbookViewId="0">
      <selection activeCell="K39" sqref="K39"/>
    </sheetView>
  </sheetViews>
  <sheetFormatPr defaultColWidth="29.88671875" defaultRowHeight="14.4" x14ac:dyDescent="0.3"/>
  <cols>
    <col min="1" max="1" width="9.21875" bestFit="1" customWidth="1"/>
    <col min="2" max="2" width="8.77734375" bestFit="1" customWidth="1"/>
    <col min="3" max="3" width="25.33203125" bestFit="1" customWidth="1"/>
    <col min="4" max="4" width="12.5546875" bestFit="1" customWidth="1"/>
    <col min="5" max="5" width="14.88671875" bestFit="1" customWidth="1"/>
    <col min="6" max="6" width="12.33203125" bestFit="1" customWidth="1"/>
    <col min="7" max="7" width="17.6640625" bestFit="1" customWidth="1"/>
    <col min="8" max="8" width="17.44140625" bestFit="1" customWidth="1"/>
    <col min="9" max="9" width="17.21875" bestFit="1" customWidth="1"/>
    <col min="10" max="10" width="14.109375" bestFit="1" customWidth="1"/>
    <col min="11" max="11" width="17.5546875" bestFit="1" customWidth="1"/>
    <col min="12" max="13" width="14.44140625" bestFit="1" customWidth="1"/>
    <col min="14" max="14" width="11.33203125" bestFit="1" customWidth="1"/>
    <col min="15" max="15" width="14.5546875" bestFit="1" customWidth="1"/>
    <col min="16" max="16" width="10" bestFit="1" customWidth="1"/>
    <col min="17" max="17" width="20.6640625" bestFit="1" customWidth="1"/>
    <col min="18" max="18" width="12.21875" bestFit="1" customWidth="1"/>
  </cols>
  <sheetData>
    <row r="1" spans="1:21" x14ac:dyDescent="0.3">
      <c r="A1" s="59" t="s">
        <v>46</v>
      </c>
      <c r="B1" s="60" t="s">
        <v>47</v>
      </c>
      <c r="C1" s="60" t="s">
        <v>48</v>
      </c>
      <c r="D1" s="60" t="s">
        <v>49</v>
      </c>
      <c r="E1" s="60" t="s">
        <v>50</v>
      </c>
      <c r="F1" s="60" t="s">
        <v>51</v>
      </c>
      <c r="G1" s="60" t="s">
        <v>52</v>
      </c>
      <c r="H1" s="60" t="s">
        <v>53</v>
      </c>
      <c r="I1" s="60" t="s">
        <v>54</v>
      </c>
      <c r="J1" s="60" t="s">
        <v>55</v>
      </c>
      <c r="K1" s="60" t="s">
        <v>56</v>
      </c>
      <c r="L1" s="60" t="s">
        <v>57</v>
      </c>
      <c r="M1" s="60" t="s">
        <v>58</v>
      </c>
      <c r="N1" s="60" t="s">
        <v>59</v>
      </c>
      <c r="O1" s="60" t="s">
        <v>60</v>
      </c>
      <c r="P1" s="60" t="s">
        <v>61</v>
      </c>
      <c r="Q1" s="60" t="s">
        <v>62</v>
      </c>
      <c r="R1" s="61" t="s">
        <v>63</v>
      </c>
      <c r="S1" s="57" t="s">
        <v>817</v>
      </c>
      <c r="T1" s="57" t="s">
        <v>818</v>
      </c>
      <c r="U1" s="57" t="s">
        <v>819</v>
      </c>
    </row>
    <row r="2" spans="1:21" x14ac:dyDescent="0.3">
      <c r="A2" s="22">
        <v>45939</v>
      </c>
      <c r="B2" s="23" t="s">
        <v>3</v>
      </c>
      <c r="C2" s="24" t="s">
        <v>330</v>
      </c>
      <c r="D2" s="25" t="s">
        <v>331</v>
      </c>
      <c r="E2" s="25" t="s">
        <v>332</v>
      </c>
      <c r="F2" s="24" t="s">
        <v>67</v>
      </c>
      <c r="G2" s="25" t="s">
        <v>75</v>
      </c>
      <c r="H2" s="25">
        <v>2500</v>
      </c>
      <c r="I2" s="25">
        <v>2500</v>
      </c>
      <c r="J2" s="25">
        <v>0</v>
      </c>
      <c r="K2" s="25" t="s">
        <v>334</v>
      </c>
      <c r="L2" s="26" t="s">
        <v>335</v>
      </c>
      <c r="M2" s="25" t="s">
        <v>104</v>
      </c>
      <c r="N2" s="26" t="s">
        <v>333</v>
      </c>
      <c r="O2" s="27">
        <v>2</v>
      </c>
      <c r="P2" s="25" t="s">
        <v>335</v>
      </c>
      <c r="Q2" s="25">
        <v>0</v>
      </c>
      <c r="R2" s="28">
        <v>2500</v>
      </c>
      <c r="S2" s="43" t="str">
        <f>IF(SUMPRODUCT((fo_makara[[#Headers],[MAKARA NO]]=fo_224[[#This Row],[Makara Numarası]])*(fo_makara[[#Headers],[KALAN]]&lt;0))&gt;0,
    "HATA VAR",
    "")</f>
        <v/>
      </c>
      <c r="T2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3" spans="1:21" x14ac:dyDescent="0.3">
      <c r="A3" s="22">
        <v>45936</v>
      </c>
      <c r="B3" s="23" t="s">
        <v>3</v>
      </c>
      <c r="C3" s="24" t="s">
        <v>336</v>
      </c>
      <c r="D3" s="25" t="s">
        <v>103</v>
      </c>
      <c r="E3" s="25" t="s">
        <v>337</v>
      </c>
      <c r="F3" s="24" t="s">
        <v>67</v>
      </c>
      <c r="G3" s="25" t="s">
        <v>21</v>
      </c>
      <c r="H3" s="25">
        <v>4073</v>
      </c>
      <c r="I3" s="25">
        <v>4073</v>
      </c>
      <c r="J3" s="25">
        <v>0</v>
      </c>
      <c r="K3" s="25" t="s">
        <v>338</v>
      </c>
      <c r="L3" s="26" t="s">
        <v>333</v>
      </c>
      <c r="M3" s="25" t="s">
        <v>111</v>
      </c>
      <c r="N3" s="26" t="s">
        <v>4</v>
      </c>
      <c r="O3" s="27">
        <v>2</v>
      </c>
      <c r="P3" s="25" t="s">
        <v>339</v>
      </c>
      <c r="Q3" s="25">
        <v>0</v>
      </c>
      <c r="R3" s="28">
        <v>4073</v>
      </c>
      <c r="S3" s="43" t="str">
        <f>IF(SUMPRODUCT((fo_makara[[#Headers],[MAKARA NO]]=fo_224[[#This Row],[Makara Numarası]])*(fo_makara[[#Headers],[KALAN]]&lt;0))&gt;0,
    "HATA VAR",
    "")</f>
        <v/>
      </c>
      <c r="T3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3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4" spans="1:21" x14ac:dyDescent="0.3">
      <c r="A4" s="22">
        <v>45940</v>
      </c>
      <c r="B4" s="23" t="s">
        <v>3</v>
      </c>
      <c r="C4" s="24" t="s">
        <v>340</v>
      </c>
      <c r="D4" s="25" t="s">
        <v>104</v>
      </c>
      <c r="E4" s="25" t="s">
        <v>118</v>
      </c>
      <c r="F4" s="24" t="s">
        <v>67</v>
      </c>
      <c r="G4" s="25" t="s">
        <v>9</v>
      </c>
      <c r="H4" s="25">
        <v>4048</v>
      </c>
      <c r="I4" s="25">
        <v>4048</v>
      </c>
      <c r="J4" s="25">
        <v>2450</v>
      </c>
      <c r="K4" s="25" t="s">
        <v>104</v>
      </c>
      <c r="L4" s="26" t="s">
        <v>4</v>
      </c>
      <c r="M4" s="25" t="s">
        <v>341</v>
      </c>
      <c r="N4" s="26" t="s">
        <v>342</v>
      </c>
      <c r="O4" s="27">
        <v>2</v>
      </c>
      <c r="P4" s="25" t="s">
        <v>341</v>
      </c>
      <c r="Q4" s="25">
        <v>2450</v>
      </c>
      <c r="R4" s="28">
        <v>1639</v>
      </c>
      <c r="S4" s="43" t="str">
        <f>IF(SUMPRODUCT((fo_makara[[#Headers],[MAKARA NO]]=fo_224[[#This Row],[Makara Numarası]])*(fo_makara[[#Headers],[KALAN]]&lt;0))&gt;0,
    "HATA VAR",
    "")</f>
        <v/>
      </c>
      <c r="T4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4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5" spans="1:21" x14ac:dyDescent="0.3">
      <c r="A5" s="22">
        <v>45945</v>
      </c>
      <c r="B5" s="23" t="s">
        <v>5</v>
      </c>
      <c r="C5" s="29" t="s">
        <v>343</v>
      </c>
      <c r="D5" s="29" t="s">
        <v>103</v>
      </c>
      <c r="E5" s="29" t="s">
        <v>344</v>
      </c>
      <c r="F5" s="24" t="s">
        <v>119</v>
      </c>
      <c r="G5" s="29" t="s">
        <v>23</v>
      </c>
      <c r="H5" s="29">
        <v>4055</v>
      </c>
      <c r="I5" s="29">
        <v>4055</v>
      </c>
      <c r="J5" s="29">
        <v>0</v>
      </c>
      <c r="K5" s="29" t="s">
        <v>111</v>
      </c>
      <c r="L5" s="29" t="s">
        <v>22</v>
      </c>
      <c r="M5" s="29" t="s">
        <v>345</v>
      </c>
      <c r="N5" s="29" t="s">
        <v>24</v>
      </c>
      <c r="O5" s="30">
        <v>2</v>
      </c>
      <c r="P5" s="25" t="s">
        <v>345</v>
      </c>
      <c r="Q5" s="29">
        <v>0</v>
      </c>
      <c r="R5" s="31">
        <v>4055</v>
      </c>
      <c r="S5" s="43" t="str">
        <f>IF(SUMPRODUCT((fo_makara[[#Headers],[MAKARA NO]]=fo_224[[#This Row],[Makara Numarası]])*(fo_makara[[#Headers],[KALAN]]&lt;0))&gt;0,
    "HATA VAR",
    "")</f>
        <v/>
      </c>
      <c r="T5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5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6" spans="1:21" x14ac:dyDescent="0.3">
      <c r="A6" s="22">
        <v>45950</v>
      </c>
      <c r="B6" s="23" t="s">
        <v>5</v>
      </c>
      <c r="C6" s="29" t="s">
        <v>343</v>
      </c>
      <c r="D6" s="29" t="s">
        <v>103</v>
      </c>
      <c r="E6" s="29" t="s">
        <v>344</v>
      </c>
      <c r="F6" s="24" t="s">
        <v>119</v>
      </c>
      <c r="G6" s="29" t="s">
        <v>25</v>
      </c>
      <c r="H6" s="29">
        <v>4052</v>
      </c>
      <c r="I6" s="29">
        <v>4052</v>
      </c>
      <c r="J6" s="29">
        <v>0</v>
      </c>
      <c r="K6" s="29" t="s">
        <v>104</v>
      </c>
      <c r="L6" s="29" t="s">
        <v>24</v>
      </c>
      <c r="M6" s="29" t="s">
        <v>346</v>
      </c>
      <c r="N6" s="29" t="s">
        <v>26</v>
      </c>
      <c r="O6" s="30">
        <v>2</v>
      </c>
      <c r="P6" s="25" t="s">
        <v>346</v>
      </c>
      <c r="Q6" s="29">
        <v>0</v>
      </c>
      <c r="R6" s="31">
        <v>4052</v>
      </c>
      <c r="S6" s="43" t="str">
        <f>IF(SUMPRODUCT((fo_makara[[#Headers],[MAKARA NO]]=fo_224[[#This Row],[Makara Numarası]])*(fo_makara[[#Headers],[KALAN]]&lt;0))&gt;0,
    "HATA VAR",
    "")</f>
        <v/>
      </c>
      <c r="T6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6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7" spans="1:21" x14ac:dyDescent="0.3">
      <c r="A7" s="22">
        <v>45951</v>
      </c>
      <c r="B7" s="23" t="s">
        <v>5</v>
      </c>
      <c r="C7" s="29" t="s">
        <v>343</v>
      </c>
      <c r="D7" s="29" t="s">
        <v>103</v>
      </c>
      <c r="E7" s="29" t="s">
        <v>347</v>
      </c>
      <c r="F7" s="24" t="s">
        <v>67</v>
      </c>
      <c r="G7" s="29" t="s">
        <v>11</v>
      </c>
      <c r="H7" s="29">
        <v>4049</v>
      </c>
      <c r="I7" s="29">
        <v>4049</v>
      </c>
      <c r="J7" s="29">
        <v>3580</v>
      </c>
      <c r="K7" s="29" t="s">
        <v>138</v>
      </c>
      <c r="L7" s="29" t="s">
        <v>26</v>
      </c>
      <c r="M7" s="29" t="s">
        <v>179</v>
      </c>
      <c r="N7" s="29" t="s">
        <v>6</v>
      </c>
      <c r="O7" s="30">
        <v>2</v>
      </c>
      <c r="P7" s="25"/>
      <c r="Q7" s="29">
        <v>3580</v>
      </c>
      <c r="R7" s="31">
        <v>469</v>
      </c>
      <c r="S7" s="43" t="str">
        <f>IF(SUMPRODUCT((fo_makara[[#Headers],[MAKARA NO]]=fo_224[[#This Row],[Makara Numarası]])*(fo_makara[[#Headers],[KALAN]]&lt;0))&gt;0,
    "HATA VAR",
    "")</f>
        <v/>
      </c>
      <c r="T7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7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8" spans="1:21" x14ac:dyDescent="0.3">
      <c r="A8" s="22">
        <v>45954</v>
      </c>
      <c r="B8" s="23" t="s">
        <v>5</v>
      </c>
      <c r="C8" s="29" t="s">
        <v>348</v>
      </c>
      <c r="D8" s="29" t="s">
        <v>179</v>
      </c>
      <c r="E8" s="29" t="s">
        <v>134</v>
      </c>
      <c r="F8" s="24" t="s">
        <v>67</v>
      </c>
      <c r="G8" s="29" t="s">
        <v>11</v>
      </c>
      <c r="H8" s="29">
        <v>3285</v>
      </c>
      <c r="I8" s="29">
        <v>3285</v>
      </c>
      <c r="J8" s="29">
        <v>562</v>
      </c>
      <c r="K8" s="29" t="s">
        <v>179</v>
      </c>
      <c r="L8" s="29" t="s">
        <v>6</v>
      </c>
      <c r="M8" s="29" t="s">
        <v>134</v>
      </c>
      <c r="N8" s="29" t="s">
        <v>28</v>
      </c>
      <c r="O8" s="30">
        <v>2</v>
      </c>
      <c r="P8" s="25"/>
      <c r="Q8" s="29">
        <v>562</v>
      </c>
      <c r="R8" s="31">
        <v>2723</v>
      </c>
      <c r="S8" s="43" t="str">
        <f>IF(SUMPRODUCT((fo_makara[[#Headers],[MAKARA NO]]=fo_224[[#This Row],[Makara Numarası]])*(fo_makara[[#Headers],[KALAN]]&lt;0))&gt;0,
    "HATA VAR",
    "")</f>
        <v/>
      </c>
      <c r="T8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8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9" spans="1:21" x14ac:dyDescent="0.3">
      <c r="A9" s="22">
        <v>45957</v>
      </c>
      <c r="B9" s="23" t="s">
        <v>5</v>
      </c>
      <c r="C9" s="29" t="s">
        <v>349</v>
      </c>
      <c r="D9" s="29" t="s">
        <v>350</v>
      </c>
      <c r="E9" s="29" t="s">
        <v>351</v>
      </c>
      <c r="F9" s="24" t="s">
        <v>119</v>
      </c>
      <c r="G9" s="29" t="s">
        <v>10</v>
      </c>
      <c r="H9" s="29">
        <v>1410</v>
      </c>
      <c r="I9" s="29">
        <v>1410</v>
      </c>
      <c r="J9" s="29">
        <v>100</v>
      </c>
      <c r="K9" s="29" t="s">
        <v>352</v>
      </c>
      <c r="L9" s="29" t="s">
        <v>28</v>
      </c>
      <c r="M9" s="29" t="s">
        <v>351</v>
      </c>
      <c r="N9" s="29" t="s">
        <v>29</v>
      </c>
      <c r="O9" s="30">
        <v>2</v>
      </c>
      <c r="P9" s="25"/>
      <c r="Q9" s="29">
        <v>100</v>
      </c>
      <c r="R9" s="31">
        <v>1310</v>
      </c>
      <c r="S9" s="43" t="str">
        <f>IF(SUMPRODUCT((fo_makara[[#Headers],[MAKARA NO]]=fo_224[[#This Row],[Makara Numarası]])*(fo_makara[[#Headers],[KALAN]]&lt;0))&gt;0,
    "HATA VAR",
    "")</f>
        <v/>
      </c>
      <c r="T9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9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0" spans="1:21" x14ac:dyDescent="0.3">
      <c r="A10" s="22">
        <v>45959</v>
      </c>
      <c r="B10" s="23" t="s">
        <v>7</v>
      </c>
      <c r="C10" s="29" t="s">
        <v>353</v>
      </c>
      <c r="D10" s="29" t="s">
        <v>147</v>
      </c>
      <c r="E10" s="29" t="s">
        <v>354</v>
      </c>
      <c r="F10" s="24" t="s">
        <v>67</v>
      </c>
      <c r="G10" s="29" t="s">
        <v>12</v>
      </c>
      <c r="H10" s="29">
        <v>2153</v>
      </c>
      <c r="I10" s="29">
        <v>2153</v>
      </c>
      <c r="J10" s="29">
        <v>1674</v>
      </c>
      <c r="K10" s="29" t="s">
        <v>147</v>
      </c>
      <c r="L10" s="29" t="s">
        <v>29</v>
      </c>
      <c r="M10" s="29" t="s">
        <v>354</v>
      </c>
      <c r="N10" s="29" t="s">
        <v>30</v>
      </c>
      <c r="O10" s="30">
        <v>2</v>
      </c>
      <c r="P10" s="25"/>
      <c r="Q10" s="29">
        <v>1674</v>
      </c>
      <c r="R10" s="31">
        <v>479</v>
      </c>
      <c r="S10" s="43" t="str">
        <f>IF(SUMPRODUCT((fo_makara[[#Headers],[MAKARA NO]]=fo_224[[#This Row],[Makara Numarası]])*(fo_makara[[#Headers],[KALAN]]&lt;0))&gt;0,
    "HATA VAR",
    "")</f>
        <v/>
      </c>
      <c r="T10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0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1" spans="1:21" x14ac:dyDescent="0.3">
      <c r="A11" s="22">
        <v>45959</v>
      </c>
      <c r="B11" s="23" t="s">
        <v>7</v>
      </c>
      <c r="C11" s="29" t="s">
        <v>355</v>
      </c>
      <c r="D11" s="29" t="s">
        <v>354</v>
      </c>
      <c r="E11" s="29" t="s">
        <v>356</v>
      </c>
      <c r="F11" s="24" t="s">
        <v>67</v>
      </c>
      <c r="G11" s="29" t="s">
        <v>12</v>
      </c>
      <c r="H11" s="29">
        <v>1674</v>
      </c>
      <c r="I11" s="29">
        <v>1674</v>
      </c>
      <c r="J11" s="29">
        <v>1300</v>
      </c>
      <c r="K11" s="29" t="s">
        <v>354</v>
      </c>
      <c r="L11" s="29" t="s">
        <v>30</v>
      </c>
      <c r="M11" s="29" t="s">
        <v>356</v>
      </c>
      <c r="N11" s="29" t="s">
        <v>31</v>
      </c>
      <c r="O11" s="30">
        <v>2</v>
      </c>
      <c r="P11" s="25"/>
      <c r="Q11" s="29">
        <v>1300</v>
      </c>
      <c r="R11" s="31">
        <v>374</v>
      </c>
      <c r="S11" s="43" t="str">
        <f>IF(SUMPRODUCT((fo_makara[[#Headers],[MAKARA NO]]=fo_224[[#This Row],[Makara Numarası]])*(fo_makara[[#Headers],[KALAN]]&lt;0))&gt;0,
    "HATA VAR",
    "")</f>
        <v/>
      </c>
      <c r="T11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1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2" spans="1:21" x14ac:dyDescent="0.3">
      <c r="A12" s="22">
        <v>45959</v>
      </c>
      <c r="B12" s="23" t="s">
        <v>7</v>
      </c>
      <c r="C12" s="29" t="s">
        <v>357</v>
      </c>
      <c r="D12" s="29" t="s">
        <v>356</v>
      </c>
      <c r="E12" s="29" t="s">
        <v>358</v>
      </c>
      <c r="F12" s="24" t="s">
        <v>67</v>
      </c>
      <c r="G12" s="29" t="s">
        <v>12</v>
      </c>
      <c r="H12" s="29">
        <v>1300</v>
      </c>
      <c r="I12" s="29">
        <v>1300</v>
      </c>
      <c r="J12" s="29">
        <v>1105</v>
      </c>
      <c r="K12" s="29" t="s">
        <v>356</v>
      </c>
      <c r="L12" s="29" t="s">
        <v>31</v>
      </c>
      <c r="M12" s="29" t="s">
        <v>358</v>
      </c>
      <c r="N12" s="29" t="s">
        <v>32</v>
      </c>
      <c r="O12" s="30">
        <v>2</v>
      </c>
      <c r="P12" s="25"/>
      <c r="Q12" s="29">
        <v>1105</v>
      </c>
      <c r="R12" s="31">
        <v>195</v>
      </c>
      <c r="S12" s="43" t="str">
        <f>IF(SUMPRODUCT((fo_makara[[#Headers],[MAKARA NO]]=fo_224[[#This Row],[Makara Numarası]])*(fo_makara[[#Headers],[KALAN]]&lt;0))&gt;0,
    "HATA VAR",
    "")</f>
        <v/>
      </c>
      <c r="T12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2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3" spans="1:21" x14ac:dyDescent="0.3">
      <c r="A13" s="22">
        <v>45961</v>
      </c>
      <c r="B13" s="23" t="s">
        <v>7</v>
      </c>
      <c r="C13" s="29" t="s">
        <v>359</v>
      </c>
      <c r="D13" s="29" t="s">
        <v>358</v>
      </c>
      <c r="E13" s="29" t="s">
        <v>360</v>
      </c>
      <c r="F13" s="24" t="s">
        <v>67</v>
      </c>
      <c r="G13" s="29" t="s">
        <v>14</v>
      </c>
      <c r="H13" s="29">
        <v>4100</v>
      </c>
      <c r="I13" s="29">
        <v>4100</v>
      </c>
      <c r="J13" s="29">
        <v>2565</v>
      </c>
      <c r="K13" s="29" t="s">
        <v>358</v>
      </c>
      <c r="L13" s="29" t="s">
        <v>32</v>
      </c>
      <c r="M13" s="29" t="s">
        <v>360</v>
      </c>
      <c r="N13" s="29" t="s">
        <v>33</v>
      </c>
      <c r="O13" s="30">
        <v>2</v>
      </c>
      <c r="P13" s="25"/>
      <c r="Q13" s="29">
        <v>2565</v>
      </c>
      <c r="R13" s="31">
        <v>1535</v>
      </c>
      <c r="S13" s="43" t="str">
        <f>IF(SUMPRODUCT((fo_makara[[#Headers],[MAKARA NO]]=fo_224[[#This Row],[Makara Numarası]])*(fo_makara[[#Headers],[KALAN]]&lt;0))&gt;0,
    "HATA VAR",
    "")</f>
        <v/>
      </c>
      <c r="T13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3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4" spans="1:21" x14ac:dyDescent="0.3">
      <c r="A14" s="22">
        <v>45961</v>
      </c>
      <c r="B14" s="23" t="s">
        <v>7</v>
      </c>
      <c r="C14" s="29" t="s">
        <v>361</v>
      </c>
      <c r="D14" s="29" t="s">
        <v>360</v>
      </c>
      <c r="E14" s="29" t="s">
        <v>158</v>
      </c>
      <c r="F14" s="24" t="s">
        <v>67</v>
      </c>
      <c r="G14" s="29" t="s">
        <v>14</v>
      </c>
      <c r="H14" s="29">
        <v>2565</v>
      </c>
      <c r="I14" s="29">
        <v>2565</v>
      </c>
      <c r="J14" s="29">
        <v>1150</v>
      </c>
      <c r="K14" s="29" t="s">
        <v>360</v>
      </c>
      <c r="L14" s="29" t="s">
        <v>33</v>
      </c>
      <c r="M14" s="29" t="s">
        <v>158</v>
      </c>
      <c r="N14" s="29" t="s">
        <v>34</v>
      </c>
      <c r="O14" s="30">
        <v>2</v>
      </c>
      <c r="P14" s="25"/>
      <c r="Q14" s="29">
        <v>1150</v>
      </c>
      <c r="R14" s="31">
        <v>1415</v>
      </c>
      <c r="S14" s="43" t="str">
        <f>IF(SUMPRODUCT((fo_makara[[#Headers],[MAKARA NO]]=fo_224[[#This Row],[Makara Numarası]])*(fo_makara[[#Headers],[KALAN]]&lt;0))&gt;0,
    "HATA VAR",
    "")</f>
        <v/>
      </c>
      <c r="T14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4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5" spans="1:21" x14ac:dyDescent="0.3">
      <c r="A15" s="22">
        <v>45964</v>
      </c>
      <c r="B15" s="23" t="s">
        <v>7</v>
      </c>
      <c r="C15" s="29" t="s">
        <v>362</v>
      </c>
      <c r="D15" s="29" t="s">
        <v>158</v>
      </c>
      <c r="E15" s="29" t="s">
        <v>163</v>
      </c>
      <c r="F15" s="29" t="s">
        <v>119</v>
      </c>
      <c r="G15" s="29" t="s">
        <v>13</v>
      </c>
      <c r="H15" s="29">
        <v>4060</v>
      </c>
      <c r="I15" s="29">
        <v>4060</v>
      </c>
      <c r="J15" s="29">
        <v>3372</v>
      </c>
      <c r="K15" s="29" t="s">
        <v>363</v>
      </c>
      <c r="L15" s="29" t="s">
        <v>34</v>
      </c>
      <c r="M15" s="29" t="s">
        <v>163</v>
      </c>
      <c r="N15" s="29" t="s">
        <v>35</v>
      </c>
      <c r="O15" s="30">
        <v>2</v>
      </c>
      <c r="P15" s="25"/>
      <c r="Q15" s="29">
        <v>3372</v>
      </c>
      <c r="R15" s="31">
        <v>688</v>
      </c>
      <c r="S15" s="43" t="str">
        <f>IF(SUMPRODUCT((fo_makara[[#Headers],[MAKARA NO]]=fo_224[[#This Row],[Makara Numarası]])*(fo_makara[[#Headers],[KALAN]]&lt;0))&gt;0,
    "HATA VAR",
    "")</f>
        <v/>
      </c>
      <c r="T15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5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6" spans="1:21" x14ac:dyDescent="0.3">
      <c r="A16" s="22">
        <v>45964</v>
      </c>
      <c r="B16" s="23" t="s">
        <v>7</v>
      </c>
      <c r="C16" s="29" t="s">
        <v>364</v>
      </c>
      <c r="D16" s="29" t="s">
        <v>163</v>
      </c>
      <c r="E16" s="29" t="s">
        <v>365</v>
      </c>
      <c r="F16" s="29" t="s">
        <v>119</v>
      </c>
      <c r="G16" s="29" t="s">
        <v>13</v>
      </c>
      <c r="H16" s="29">
        <v>3372</v>
      </c>
      <c r="I16" s="29">
        <v>3372</v>
      </c>
      <c r="J16" s="29">
        <v>2445</v>
      </c>
      <c r="K16" s="29" t="s">
        <v>163</v>
      </c>
      <c r="L16" s="29" t="s">
        <v>35</v>
      </c>
      <c r="M16" s="29" t="s">
        <v>365</v>
      </c>
      <c r="N16" s="29" t="s">
        <v>36</v>
      </c>
      <c r="O16" s="30">
        <v>2</v>
      </c>
      <c r="P16" s="25"/>
      <c r="Q16" s="29">
        <v>2445</v>
      </c>
      <c r="R16" s="31">
        <v>927</v>
      </c>
      <c r="S16" s="43" t="str">
        <f>IF(SUMPRODUCT((fo_makara[[#Headers],[MAKARA NO]]=fo_224[[#This Row],[Makara Numarası]])*(fo_makara[[#Headers],[KALAN]]&lt;0))&gt;0,
    "HATA VAR",
    "")</f>
        <v/>
      </c>
      <c r="T16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6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7" spans="1:21" x14ac:dyDescent="0.3">
      <c r="A17" s="22">
        <v>45966</v>
      </c>
      <c r="B17" s="23" t="s">
        <v>7</v>
      </c>
      <c r="C17" s="29" t="s">
        <v>366</v>
      </c>
      <c r="D17" s="29" t="s">
        <v>365</v>
      </c>
      <c r="E17" s="29" t="s">
        <v>365</v>
      </c>
      <c r="F17" s="29" t="s">
        <v>67</v>
      </c>
      <c r="G17" s="29" t="s">
        <v>14</v>
      </c>
      <c r="H17" s="29">
        <v>870</v>
      </c>
      <c r="I17" s="29">
        <v>870</v>
      </c>
      <c r="J17" s="29">
        <v>735</v>
      </c>
      <c r="K17" s="29" t="s">
        <v>365</v>
      </c>
      <c r="L17" s="29" t="s">
        <v>36</v>
      </c>
      <c r="M17" s="29" t="s">
        <v>365</v>
      </c>
      <c r="N17" s="29" t="s">
        <v>37</v>
      </c>
      <c r="O17" s="30">
        <v>2</v>
      </c>
      <c r="P17" s="25"/>
      <c r="Q17" s="29">
        <v>735</v>
      </c>
      <c r="R17" s="31">
        <v>135</v>
      </c>
      <c r="S17" s="43" t="str">
        <f>IF(SUMPRODUCT((fo_makara[[#Headers],[MAKARA NO]]=fo_224[[#This Row],[Makara Numarası]])*(fo_makara[[#Headers],[KALAN]]&lt;0))&gt;0,
    "HATA VAR",
    "")</f>
        <v/>
      </c>
      <c r="T17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7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8" spans="1:21" x14ac:dyDescent="0.3">
      <c r="A18" s="22">
        <v>45966</v>
      </c>
      <c r="B18" s="23" t="s">
        <v>7</v>
      </c>
      <c r="C18" s="29" t="s">
        <v>367</v>
      </c>
      <c r="D18" s="29" t="s">
        <v>368</v>
      </c>
      <c r="E18" s="29" t="s">
        <v>368</v>
      </c>
      <c r="F18" s="29" t="s">
        <v>67</v>
      </c>
      <c r="G18" s="29" t="s">
        <v>14</v>
      </c>
      <c r="H18" s="29">
        <v>735</v>
      </c>
      <c r="I18" s="29">
        <v>735</v>
      </c>
      <c r="J18" s="29">
        <v>450</v>
      </c>
      <c r="K18" s="29" t="s">
        <v>368</v>
      </c>
      <c r="L18" s="29" t="s">
        <v>37</v>
      </c>
      <c r="M18" s="29" t="s">
        <v>368</v>
      </c>
      <c r="N18" s="29" t="s">
        <v>8</v>
      </c>
      <c r="O18" s="30">
        <v>2</v>
      </c>
      <c r="P18" s="25"/>
      <c r="Q18" s="29">
        <v>450</v>
      </c>
      <c r="R18" s="31">
        <v>285</v>
      </c>
      <c r="S18" s="43" t="str">
        <f>IF(SUMPRODUCT((fo_makara[[#Headers],[MAKARA NO]]=fo_224[[#This Row],[Makara Numarası]])*(fo_makara[[#Headers],[KALAN]]&lt;0))&gt;0,
    "HATA VAR",
    "")</f>
        <v/>
      </c>
      <c r="T18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8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19" spans="1:21" x14ac:dyDescent="0.3">
      <c r="A19" s="23">
        <v>45972</v>
      </c>
      <c r="B19" s="23" t="s">
        <v>7</v>
      </c>
      <c r="C19" s="29" t="s">
        <v>369</v>
      </c>
      <c r="D19" s="29" t="s">
        <v>229</v>
      </c>
      <c r="E19" s="29" t="s">
        <v>370</v>
      </c>
      <c r="F19" s="29" t="s">
        <v>67</v>
      </c>
      <c r="G19" s="29" t="s">
        <v>12</v>
      </c>
      <c r="H19" s="29">
        <v>1105</v>
      </c>
      <c r="I19" s="29">
        <v>1105</v>
      </c>
      <c r="J19" s="29">
        <v>800</v>
      </c>
      <c r="K19" s="29" t="s">
        <v>229</v>
      </c>
      <c r="L19" s="29" t="s">
        <v>38</v>
      </c>
      <c r="M19" s="29" t="s">
        <v>370</v>
      </c>
      <c r="N19" s="29" t="s">
        <v>371</v>
      </c>
      <c r="O19" s="30">
        <v>2</v>
      </c>
      <c r="P19" s="25"/>
      <c r="Q19" s="29">
        <v>800</v>
      </c>
      <c r="R19" s="31">
        <v>305</v>
      </c>
      <c r="S19" s="43" t="str">
        <f>IF(SUMPRODUCT((fo_makara[[#Headers],[MAKARA NO]]=fo_224[[#This Row],[Makara Numarası]])*(fo_makara[[#Headers],[KALAN]]&lt;0))&gt;0,
    "HATA VAR",
    "")</f>
        <v/>
      </c>
      <c r="T19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19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0" spans="1:21" x14ac:dyDescent="0.3">
      <c r="A20" s="33">
        <v>45973</v>
      </c>
      <c r="B20" s="23" t="s">
        <v>7</v>
      </c>
      <c r="C20" s="34" t="s">
        <v>372</v>
      </c>
      <c r="D20" s="34" t="s">
        <v>370</v>
      </c>
      <c r="E20" s="34" t="s">
        <v>373</v>
      </c>
      <c r="F20" s="34" t="s">
        <v>67</v>
      </c>
      <c r="G20" s="34" t="s">
        <v>15</v>
      </c>
      <c r="H20" s="34">
        <v>4115</v>
      </c>
      <c r="I20" s="34">
        <v>4115</v>
      </c>
      <c r="J20" s="34">
        <v>1180</v>
      </c>
      <c r="K20" s="34" t="s">
        <v>370</v>
      </c>
      <c r="L20" s="34" t="s">
        <v>371</v>
      </c>
      <c r="M20" s="34" t="s">
        <v>373</v>
      </c>
      <c r="N20" s="34" t="s">
        <v>39</v>
      </c>
      <c r="O20" s="32">
        <v>2</v>
      </c>
      <c r="P20" s="35"/>
      <c r="Q20" s="34">
        <v>1180</v>
      </c>
      <c r="R20" s="36">
        <v>2935</v>
      </c>
      <c r="S20" s="43" t="str">
        <f>IF(SUMPRODUCT((fo_makara[[#Headers],[MAKARA NO]]=fo_224[[#This Row],[Makara Numarası]])*(fo_makara[[#Headers],[KALAN]]&lt;0))&gt;0,
    "HATA VAR",
    "")</f>
        <v/>
      </c>
      <c r="T20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0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1" spans="1:21" x14ac:dyDescent="0.3">
      <c r="A21" s="33">
        <v>45973</v>
      </c>
      <c r="B21" s="23" t="s">
        <v>7</v>
      </c>
      <c r="C21" s="34" t="s">
        <v>374</v>
      </c>
      <c r="D21" s="34" t="s">
        <v>373</v>
      </c>
      <c r="E21" s="34" t="s">
        <v>375</v>
      </c>
      <c r="F21" s="34" t="s">
        <v>67</v>
      </c>
      <c r="G21" s="34" t="s">
        <v>15</v>
      </c>
      <c r="H21" s="34">
        <v>1180</v>
      </c>
      <c r="I21" s="34">
        <v>1180</v>
      </c>
      <c r="J21" s="34">
        <v>577</v>
      </c>
      <c r="K21" s="34" t="s">
        <v>373</v>
      </c>
      <c r="L21" s="34" t="s">
        <v>39</v>
      </c>
      <c r="M21" s="34" t="s">
        <v>375</v>
      </c>
      <c r="N21" s="34" t="s">
        <v>40</v>
      </c>
      <c r="O21" s="32">
        <v>2</v>
      </c>
      <c r="P21" s="35"/>
      <c r="Q21" s="34">
        <v>577</v>
      </c>
      <c r="R21" s="36">
        <v>603</v>
      </c>
      <c r="S21" s="43" t="str">
        <f>IF(SUMPRODUCT((fo_makara[[#Headers],[MAKARA NO]]=fo_224[[#This Row],[Makara Numarası]])*(fo_makara[[#Headers],[KALAN]]&lt;0))&gt;0,
    "HATA VAR",
    "")</f>
        <v/>
      </c>
      <c r="T21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1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2" spans="1:21" x14ac:dyDescent="0.3">
      <c r="A22" s="23">
        <v>45974</v>
      </c>
      <c r="B22" s="23" t="s">
        <v>7</v>
      </c>
      <c r="C22" s="29" t="s">
        <v>376</v>
      </c>
      <c r="D22" s="29" t="s">
        <v>375</v>
      </c>
      <c r="E22" s="29" t="s">
        <v>138</v>
      </c>
      <c r="F22" s="29" t="s">
        <v>67</v>
      </c>
      <c r="G22" s="29" t="s">
        <v>17</v>
      </c>
      <c r="H22" s="29">
        <v>4133</v>
      </c>
      <c r="I22" s="29">
        <v>4133</v>
      </c>
      <c r="J22" s="29">
        <v>3015</v>
      </c>
      <c r="K22" s="29" t="s">
        <v>375</v>
      </c>
      <c r="L22" s="29" t="s">
        <v>40</v>
      </c>
      <c r="M22" s="29" t="s">
        <v>138</v>
      </c>
      <c r="N22" s="29" t="s">
        <v>41</v>
      </c>
      <c r="O22" s="32">
        <v>2</v>
      </c>
      <c r="P22" s="25" t="s">
        <v>41</v>
      </c>
      <c r="Q22" s="29">
        <v>3015</v>
      </c>
      <c r="R22" s="31">
        <v>1118</v>
      </c>
      <c r="S22" s="43" t="str">
        <f>IF(SUMPRODUCT((fo_makara[[#Headers],[MAKARA NO]]=fo_224[[#This Row],[Makara Numarası]])*(fo_makara[[#Headers],[KALAN]]&lt;0))&gt;0,
    "HATA VAR",
    "")</f>
        <v/>
      </c>
      <c r="T22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2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3" spans="1:21" x14ac:dyDescent="0.3">
      <c r="A23" s="23">
        <v>45975</v>
      </c>
      <c r="B23" s="23" t="s">
        <v>2</v>
      </c>
      <c r="C23" s="24" t="s">
        <v>377</v>
      </c>
      <c r="D23" s="24" t="s">
        <v>375</v>
      </c>
      <c r="E23" s="24" t="s">
        <v>230</v>
      </c>
      <c r="F23" s="24" t="s">
        <v>119</v>
      </c>
      <c r="G23" s="25" t="s">
        <v>16</v>
      </c>
      <c r="H23" s="29">
        <v>3005</v>
      </c>
      <c r="I23" s="29">
        <v>3005</v>
      </c>
      <c r="J23" s="29">
        <v>400</v>
      </c>
      <c r="K23" s="29" t="s">
        <v>375</v>
      </c>
      <c r="L23" s="29" t="s">
        <v>41</v>
      </c>
      <c r="M23" s="29" t="s">
        <v>230</v>
      </c>
      <c r="N23" s="29" t="s">
        <v>42</v>
      </c>
      <c r="O23" s="30">
        <v>2</v>
      </c>
      <c r="P23" s="25" t="s">
        <v>42</v>
      </c>
      <c r="Q23" s="29">
        <v>400</v>
      </c>
      <c r="R23" s="31">
        <v>2605</v>
      </c>
      <c r="S23" s="43" t="str">
        <f>IF(SUMPRODUCT((fo_makara[[#Headers],[MAKARA NO]]=fo_224[[#This Row],[Makara Numarası]])*(fo_makara[[#Headers],[KALAN]]&lt;0))&gt;0,
    "HATA VAR",
    "")</f>
        <v/>
      </c>
      <c r="T23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3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4" spans="1:21" x14ac:dyDescent="0.3">
      <c r="A24" s="39">
        <v>45981</v>
      </c>
      <c r="B24" s="23" t="s">
        <v>2</v>
      </c>
      <c r="C24" s="29" t="s">
        <v>377</v>
      </c>
      <c r="D24" s="29" t="s">
        <v>375</v>
      </c>
      <c r="E24" s="29" t="s">
        <v>284</v>
      </c>
      <c r="F24" s="29" t="s">
        <v>67</v>
      </c>
      <c r="G24" s="29" t="s">
        <v>19</v>
      </c>
      <c r="H24" s="29">
        <v>4093</v>
      </c>
      <c r="I24" s="29">
        <v>4093</v>
      </c>
      <c r="J24" s="29">
        <v>2380</v>
      </c>
      <c r="K24" s="29" t="s">
        <v>375</v>
      </c>
      <c r="L24" s="29" t="s">
        <v>42</v>
      </c>
      <c r="M24" s="29" t="s">
        <v>284</v>
      </c>
      <c r="N24" s="29" t="s">
        <v>1</v>
      </c>
      <c r="O24" s="32">
        <v>2</v>
      </c>
      <c r="P24" s="25"/>
      <c r="Q24" s="29">
        <v>2380</v>
      </c>
      <c r="R24" s="31">
        <v>1713</v>
      </c>
      <c r="S24" s="43" t="str">
        <f>IF(SUMPRODUCT((fo_makara[[#Headers],[MAKARA NO]]=fo_224[[#This Row],[Makara Numarası]])*(fo_makara[[#Headers],[KALAN]]&lt;0))&gt;0,
    "HATA VAR",
    "")</f>
        <v/>
      </c>
      <c r="T24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4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5" spans="1:21" x14ac:dyDescent="0.3">
      <c r="A25" s="39">
        <v>45989</v>
      </c>
      <c r="B25" s="23" t="s">
        <v>2</v>
      </c>
      <c r="C25" s="29" t="s">
        <v>378</v>
      </c>
      <c r="D25" s="29" t="s">
        <v>284</v>
      </c>
      <c r="E25" s="29" t="s">
        <v>379</v>
      </c>
      <c r="F25" s="29" t="s">
        <v>119</v>
      </c>
      <c r="G25" s="29" t="s">
        <v>20</v>
      </c>
      <c r="H25" s="29">
        <v>1413</v>
      </c>
      <c r="I25" s="29">
        <v>1413</v>
      </c>
      <c r="J25" s="29">
        <v>147</v>
      </c>
      <c r="K25" s="29" t="s">
        <v>284</v>
      </c>
      <c r="L25" s="29" t="s">
        <v>1</v>
      </c>
      <c r="M25" s="29" t="s">
        <v>379</v>
      </c>
      <c r="N25" s="29" t="s">
        <v>43</v>
      </c>
      <c r="O25" s="32">
        <v>2</v>
      </c>
      <c r="P25" s="25" t="s">
        <v>43</v>
      </c>
      <c r="Q25" s="29">
        <v>147</v>
      </c>
      <c r="R25" s="31">
        <v>1266</v>
      </c>
      <c r="S25" s="43" t="str">
        <f>IF(SUMPRODUCT((fo_makara[[#Headers],[MAKARA NO]]=fo_224[[#This Row],[Makara Numarası]])*(fo_makara[[#Headers],[KALAN]]&lt;0))&gt;0,
    "HATA VAR",
    "")</f>
        <v/>
      </c>
      <c r="T25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5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6" spans="1:21" x14ac:dyDescent="0.3">
      <c r="A26" s="39">
        <v>45989</v>
      </c>
      <c r="B26" s="23" t="s">
        <v>294</v>
      </c>
      <c r="C26" s="29" t="s">
        <v>378</v>
      </c>
      <c r="D26" s="29" t="s">
        <v>284</v>
      </c>
      <c r="E26" s="29" t="s">
        <v>379</v>
      </c>
      <c r="F26" s="29" t="s">
        <v>67</v>
      </c>
      <c r="G26" s="29" t="s">
        <v>19</v>
      </c>
      <c r="H26" s="29">
        <v>1485</v>
      </c>
      <c r="I26" s="29">
        <v>1485</v>
      </c>
      <c r="J26" s="29">
        <v>700</v>
      </c>
      <c r="K26" s="29" t="s">
        <v>284</v>
      </c>
      <c r="L26" s="29" t="s">
        <v>43</v>
      </c>
      <c r="M26" s="29" t="s">
        <v>379</v>
      </c>
      <c r="N26" s="29" t="s">
        <v>44</v>
      </c>
      <c r="O26" s="32">
        <v>2</v>
      </c>
      <c r="P26" s="25" t="s">
        <v>44</v>
      </c>
      <c r="Q26" s="29">
        <v>700</v>
      </c>
      <c r="R26" s="31">
        <v>785</v>
      </c>
      <c r="S26" s="43" t="str">
        <f>IF(SUMPRODUCT((fo_makara[[#Headers],[MAKARA NO]]=fo_224[[#This Row],[Makara Numarası]])*(fo_makara[[#Headers],[KALAN]]&lt;0))&gt;0,
    "HATA VAR",
    "")</f>
        <v/>
      </c>
      <c r="T26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6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7" spans="1:21" x14ac:dyDescent="0.3">
      <c r="A27" s="39">
        <v>45990</v>
      </c>
      <c r="B27" s="23" t="s">
        <v>294</v>
      </c>
      <c r="C27" s="29" t="s">
        <v>378</v>
      </c>
      <c r="D27" s="29" t="s">
        <v>284</v>
      </c>
      <c r="E27" s="29" t="s">
        <v>379</v>
      </c>
      <c r="F27" s="29" t="s">
        <v>119</v>
      </c>
      <c r="G27" s="29" t="s">
        <v>18</v>
      </c>
      <c r="H27" s="29">
        <v>2984</v>
      </c>
      <c r="I27" s="29">
        <v>2984</v>
      </c>
      <c r="J27" s="29">
        <v>1550</v>
      </c>
      <c r="K27" s="29" t="s">
        <v>380</v>
      </c>
      <c r="L27" s="29" t="s">
        <v>44</v>
      </c>
      <c r="M27" s="29" t="s">
        <v>379</v>
      </c>
      <c r="N27" s="29" t="s">
        <v>45</v>
      </c>
      <c r="O27" s="32">
        <v>2</v>
      </c>
      <c r="P27" s="25" t="s">
        <v>45</v>
      </c>
      <c r="Q27" s="29">
        <v>1550</v>
      </c>
      <c r="R27" s="31">
        <v>1434</v>
      </c>
      <c r="S27" s="43" t="str">
        <f>IF(SUMPRODUCT((fo_makara[[#Headers],[MAKARA NO]]=fo_224[[#This Row],[Makara Numarası]])*(fo_makara[[#Headers],[KALAN]]&lt;0))&gt;0,
    "HATA VAR",
    "")</f>
        <v/>
      </c>
      <c r="T27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7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8" spans="1:21" x14ac:dyDescent="0.3">
      <c r="A28" s="39">
        <v>45990</v>
      </c>
      <c r="B28" s="23" t="s">
        <v>294</v>
      </c>
      <c r="C28" s="29" t="s">
        <v>378</v>
      </c>
      <c r="D28" s="29" t="s">
        <v>284</v>
      </c>
      <c r="E28" s="29" t="s">
        <v>379</v>
      </c>
      <c r="F28" s="29" t="s">
        <v>67</v>
      </c>
      <c r="G28" s="29" t="s">
        <v>304</v>
      </c>
      <c r="H28" s="29">
        <v>2615</v>
      </c>
      <c r="I28" s="29">
        <v>2615</v>
      </c>
      <c r="J28" s="29">
        <v>1333</v>
      </c>
      <c r="K28" s="29" t="s">
        <v>380</v>
      </c>
      <c r="L28" s="29" t="s">
        <v>381</v>
      </c>
      <c r="M28" s="29" t="s">
        <v>379</v>
      </c>
      <c r="N28" s="29" t="s">
        <v>383</v>
      </c>
      <c r="O28" s="32">
        <v>2</v>
      </c>
      <c r="P28" s="25" t="s">
        <v>382</v>
      </c>
      <c r="Q28" s="29">
        <v>1333</v>
      </c>
      <c r="R28" s="31">
        <v>1282</v>
      </c>
      <c r="S28" s="43" t="str">
        <f>IF(SUMPRODUCT((fo_makara[[#Headers],[MAKARA NO]]=fo_224[[#This Row],[Makara Numarası]])*(fo_makara[[#Headers],[KALAN]]&lt;0))&gt;0,
    "HATA VAR",
    "")</f>
        <v/>
      </c>
      <c r="T28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8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29" spans="1:21" x14ac:dyDescent="0.3">
      <c r="A29" s="39">
        <v>45990</v>
      </c>
      <c r="B29" s="23" t="s">
        <v>294</v>
      </c>
      <c r="C29" s="29" t="s">
        <v>378</v>
      </c>
      <c r="D29" s="29" t="s">
        <v>284</v>
      </c>
      <c r="E29" s="29" t="s">
        <v>379</v>
      </c>
      <c r="F29" s="29" t="s">
        <v>119</v>
      </c>
      <c r="G29" s="29" t="s">
        <v>318</v>
      </c>
      <c r="H29" s="29">
        <v>4129</v>
      </c>
      <c r="I29" s="29">
        <v>4129</v>
      </c>
      <c r="J29" s="29">
        <v>3411</v>
      </c>
      <c r="K29" s="29" t="s">
        <v>380</v>
      </c>
      <c r="L29" s="29" t="s">
        <v>383</v>
      </c>
      <c r="M29" s="29" t="s">
        <v>379</v>
      </c>
      <c r="N29" s="29" t="s">
        <v>384</v>
      </c>
      <c r="O29" s="32">
        <v>2</v>
      </c>
      <c r="P29" s="25" t="s">
        <v>384</v>
      </c>
      <c r="Q29" s="29">
        <v>3411</v>
      </c>
      <c r="R29" s="31">
        <v>718</v>
      </c>
      <c r="S29" s="43" t="str">
        <f>IF(SUMPRODUCT((fo_makara[[#Headers],[MAKARA NO]]=fo_224[[#This Row],[Makara Numarası]])*(fo_makara[[#Headers],[KALAN]]&lt;0))&gt;0,
    "HATA VAR",
    "")</f>
        <v/>
      </c>
      <c r="T29" s="4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29" s="4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30" spans="1:21" x14ac:dyDescent="0.3">
      <c r="A30" s="88">
        <v>45994</v>
      </c>
      <c r="B30" s="89" t="s">
        <v>294</v>
      </c>
      <c r="C30" s="90" t="s">
        <v>840</v>
      </c>
      <c r="D30" s="90" t="s">
        <v>841</v>
      </c>
      <c r="E30" s="90" t="s">
        <v>379</v>
      </c>
      <c r="F30" s="90" t="s">
        <v>67</v>
      </c>
      <c r="G30" s="90" t="s">
        <v>304</v>
      </c>
      <c r="H30" s="90">
        <v>1332</v>
      </c>
      <c r="I30" s="90">
        <v>1332</v>
      </c>
      <c r="J30" s="90">
        <v>268</v>
      </c>
      <c r="K30" s="90" t="s">
        <v>450</v>
      </c>
      <c r="L30" s="90" t="s">
        <v>384</v>
      </c>
      <c r="M30" s="90" t="s">
        <v>379</v>
      </c>
      <c r="N30" s="90" t="s">
        <v>836</v>
      </c>
      <c r="O30" s="32">
        <v>2</v>
      </c>
      <c r="P30" s="91"/>
      <c r="Q30" s="90">
        <v>268</v>
      </c>
      <c r="R30" s="92">
        <v>1064</v>
      </c>
      <c r="S30" s="93" t="str">
        <f>IF(SUMPRODUCT((fo_makara[[#Headers],[MAKARA NO]]=fo_224[[#This Row],[Makara Numarası]])*(fo_makara[[#Headers],[KALAN]]&lt;0))&gt;0,
    "HATA VAR",
    "")</f>
        <v/>
      </c>
      <c r="T30" s="9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30" s="9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31" spans="1:21" x14ac:dyDescent="0.3">
      <c r="A31" s="39">
        <v>45994</v>
      </c>
      <c r="B31" s="23" t="s">
        <v>294</v>
      </c>
      <c r="C31" s="29" t="s">
        <v>842</v>
      </c>
      <c r="D31" s="29" t="s">
        <v>835</v>
      </c>
      <c r="E31" s="29" t="s">
        <v>843</v>
      </c>
      <c r="F31" s="29" t="s">
        <v>67</v>
      </c>
      <c r="G31" s="29" t="s">
        <v>528</v>
      </c>
      <c r="H31" s="29">
        <v>2850</v>
      </c>
      <c r="I31" s="29">
        <v>2850</v>
      </c>
      <c r="J31" s="29">
        <v>2713</v>
      </c>
      <c r="K31" s="29" t="s">
        <v>835</v>
      </c>
      <c r="L31" s="29" t="s">
        <v>837</v>
      </c>
      <c r="M31" s="29" t="s">
        <v>843</v>
      </c>
      <c r="N31" s="29" t="s">
        <v>844</v>
      </c>
      <c r="O31" s="32">
        <v>2</v>
      </c>
      <c r="P31" s="25"/>
      <c r="Q31" s="29">
        <v>2713</v>
      </c>
      <c r="R31" s="31">
        <v>137</v>
      </c>
      <c r="S31" s="87" t="str">
        <f>IF(SUMPRODUCT((fo_makara[[#Headers],[MAKARA NO]]=fo_224[[#This Row],[Makara Numarası]])*(fo_makara[[#Headers],[KALAN]]&lt;0))&gt;0,
    "HATA VAR",
    "")</f>
        <v/>
      </c>
      <c r="T31" s="87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31" s="87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  <row r="32" spans="1:21" x14ac:dyDescent="0.3">
      <c r="A32" s="88">
        <v>45994</v>
      </c>
      <c r="B32" s="89" t="s">
        <v>294</v>
      </c>
      <c r="C32" s="90" t="s">
        <v>845</v>
      </c>
      <c r="D32" s="90" t="s">
        <v>843</v>
      </c>
      <c r="E32" s="90" t="s">
        <v>450</v>
      </c>
      <c r="F32" s="90" t="s">
        <v>67</v>
      </c>
      <c r="G32" s="90" t="s">
        <v>528</v>
      </c>
      <c r="H32" s="90">
        <v>2713</v>
      </c>
      <c r="I32" s="90">
        <v>2713</v>
      </c>
      <c r="J32" s="90">
        <v>2430</v>
      </c>
      <c r="K32" s="90" t="s">
        <v>843</v>
      </c>
      <c r="L32" s="90" t="s">
        <v>844</v>
      </c>
      <c r="M32" s="90" t="s">
        <v>450</v>
      </c>
      <c r="N32" s="90" t="s">
        <v>839</v>
      </c>
      <c r="O32" s="32">
        <v>2</v>
      </c>
      <c r="P32" s="91"/>
      <c r="Q32" s="90">
        <v>2430</v>
      </c>
      <c r="R32" s="92">
        <v>283</v>
      </c>
      <c r="S32" s="93" t="str">
        <f>IF(SUMPRODUCT((fo_makara[[#Headers],[MAKARA NO]]=fo_224[[#This Row],[Makara Numarası]])*(fo_makara[[#Headers],[KALAN]]&lt;0))&gt;0,
    "HATA VAR",
    "")</f>
        <v/>
      </c>
      <c r="T32" s="93" t="str">
        <f>IFERROR(
   IF(
      --LEFT(fo_224[[#This Row],[Kablo Tipi]],FIND(" ",fo_224[[#This Row],[Kablo Tipi]])-1)
      &lt;&gt;
      INDEX(fo_makara[CORE],
            MATCH(fo_224[[#This Row],[Makara Numarası]], fo_makara[MAKARA NO], 0)
      ),
      "HATA VAR",
      ""
   ),
"HATA VAR")</f>
        <v/>
      </c>
      <c r="U32" s="93" t="str">
        <f>IFERROR(
   IF(
      IFERROR(FIND("(H)",fo_224[[#This Row],[Kablo Tipi]]),0)&gt;0
      &lt;&gt;
      (INDEX(fo_makara[KABLO CİNSİ],
             MATCH(fo_224[[#This Row],[Makara Numarası]],fo_makara[MAKARA NO],0)
       )="A-DQ"),
      "HATA VAR",
      ""
   ),
"HATA VAR")</f>
        <v/>
      </c>
    </row>
  </sheetData>
  <conditionalFormatting sqref="U3">
    <cfRule type="cellIs" dxfId="106" priority="1" operator="equal">
      <formula>"HATA VAR"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1475-1A7C-4425-B4D9-1E7D4181FB95}">
  <dimension ref="A1:U28"/>
  <sheetViews>
    <sheetView topLeftCell="I1" zoomScale="84" workbookViewId="0">
      <selection activeCell="N16" sqref="A1:XFD1048576"/>
    </sheetView>
  </sheetViews>
  <sheetFormatPr defaultColWidth="16.5546875" defaultRowHeight="14.4" x14ac:dyDescent="0.3"/>
  <cols>
    <col min="1" max="1" width="9.77734375" bestFit="1" customWidth="1"/>
    <col min="2" max="2" width="9.21875" bestFit="1" customWidth="1"/>
    <col min="3" max="3" width="15.21875" bestFit="1" customWidth="1"/>
    <col min="4" max="4" width="12.6640625" bestFit="1" customWidth="1"/>
    <col min="5" max="5" width="11.6640625" bestFit="1" customWidth="1"/>
    <col min="6" max="6" width="13.109375" bestFit="1" customWidth="1"/>
    <col min="7" max="7" width="18.88671875" bestFit="1" customWidth="1"/>
    <col min="8" max="8" width="18.6640625" bestFit="1" customWidth="1"/>
    <col min="9" max="9" width="18.33203125" bestFit="1" customWidth="1"/>
    <col min="10" max="10" width="14.88671875" bestFit="1" customWidth="1"/>
    <col min="11" max="11" width="18.77734375" bestFit="1" customWidth="1"/>
    <col min="12" max="13" width="15.33203125" bestFit="1" customWidth="1"/>
    <col min="14" max="14" width="12" bestFit="1" customWidth="1"/>
    <col min="15" max="15" width="15.44140625" bestFit="1" customWidth="1"/>
    <col min="16" max="16" width="10.5546875" bestFit="1" customWidth="1"/>
    <col min="17" max="17" width="22.109375" bestFit="1" customWidth="1"/>
    <col min="18" max="18" width="12.88671875" bestFit="1" customWidth="1"/>
    <col min="19" max="19" width="15.88671875" bestFit="1" customWidth="1"/>
    <col min="20" max="20" width="14.44140625" bestFit="1" customWidth="1"/>
    <col min="21" max="21" width="13.5546875" bestFit="1" customWidth="1"/>
  </cols>
  <sheetData>
    <row r="1" spans="1:21" x14ac:dyDescent="0.3">
      <c r="A1" s="59" t="s">
        <v>46</v>
      </c>
      <c r="B1" s="60" t="s">
        <v>47</v>
      </c>
      <c r="C1" s="60" t="s">
        <v>48</v>
      </c>
      <c r="D1" s="60" t="s">
        <v>49</v>
      </c>
      <c r="E1" s="60" t="s">
        <v>50</v>
      </c>
      <c r="F1" s="60" t="s">
        <v>51</v>
      </c>
      <c r="G1" s="60" t="s">
        <v>52</v>
      </c>
      <c r="H1" s="60" t="s">
        <v>53</v>
      </c>
      <c r="I1" s="60" t="s">
        <v>54</v>
      </c>
      <c r="J1" s="60" t="s">
        <v>55</v>
      </c>
      <c r="K1" s="60" t="s">
        <v>56</v>
      </c>
      <c r="L1" s="60" t="s">
        <v>57</v>
      </c>
      <c r="M1" s="60" t="s">
        <v>58</v>
      </c>
      <c r="N1" s="60" t="s">
        <v>59</v>
      </c>
      <c r="O1" s="60" t="s">
        <v>60</v>
      </c>
      <c r="P1" s="60" t="s">
        <v>61</v>
      </c>
      <c r="Q1" s="60" t="s">
        <v>62</v>
      </c>
      <c r="R1" s="61" t="s">
        <v>63</v>
      </c>
      <c r="S1" s="57" t="s">
        <v>817</v>
      </c>
      <c r="T1" s="57" t="s">
        <v>818</v>
      </c>
      <c r="U1" s="57" t="s">
        <v>819</v>
      </c>
    </row>
    <row r="2" spans="1:21" x14ac:dyDescent="0.3">
      <c r="A2" s="22">
        <v>45938</v>
      </c>
      <c r="B2" s="23" t="s">
        <v>3</v>
      </c>
      <c r="C2" s="24" t="s">
        <v>385</v>
      </c>
      <c r="D2" s="25" t="s">
        <v>454</v>
      </c>
      <c r="E2" s="25" t="s">
        <v>455</v>
      </c>
      <c r="F2" s="24" t="s">
        <v>388</v>
      </c>
      <c r="G2" s="25" t="s">
        <v>456</v>
      </c>
      <c r="H2" s="25">
        <v>2013</v>
      </c>
      <c r="I2" s="25">
        <v>2013</v>
      </c>
      <c r="J2" s="25">
        <v>0</v>
      </c>
      <c r="K2" s="25" t="s">
        <v>458</v>
      </c>
      <c r="L2" s="26" t="s">
        <v>459</v>
      </c>
      <c r="M2" s="25" t="s">
        <v>104</v>
      </c>
      <c r="N2" s="26" t="s">
        <v>457</v>
      </c>
      <c r="O2" s="27">
        <v>1</v>
      </c>
      <c r="P2" s="26" t="s">
        <v>459</v>
      </c>
      <c r="Q2" s="25">
        <v>0</v>
      </c>
      <c r="R2" s="28">
        <v>2013</v>
      </c>
      <c r="S2" s="101" t="str">
        <f>IF(SUMPRODUCT((fo_makara[[#Headers],[MAKARA NO]]=fo_1288[[#This Row],[Makara Numarası]])*(fo_makara[[#Headers],[KALAN]]&lt;0))&gt;0,
    "HATA VAR",
    "")</f>
        <v/>
      </c>
      <c r="T2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3" spans="1:21" x14ac:dyDescent="0.3">
      <c r="A3" s="22">
        <v>45938</v>
      </c>
      <c r="B3" s="23" t="s">
        <v>3</v>
      </c>
      <c r="C3" s="24" t="s">
        <v>460</v>
      </c>
      <c r="D3" s="25" t="s">
        <v>103</v>
      </c>
      <c r="E3" s="25" t="s">
        <v>461</v>
      </c>
      <c r="F3" s="24" t="s">
        <v>388</v>
      </c>
      <c r="G3" s="25" t="s">
        <v>462</v>
      </c>
      <c r="H3" s="25">
        <v>2010</v>
      </c>
      <c r="I3" s="25">
        <v>2010</v>
      </c>
      <c r="J3" s="25">
        <v>0</v>
      </c>
      <c r="K3" s="25" t="s">
        <v>465</v>
      </c>
      <c r="L3" s="26" t="s">
        <v>457</v>
      </c>
      <c r="M3" s="25" t="s">
        <v>463</v>
      </c>
      <c r="N3" s="26" t="s">
        <v>464</v>
      </c>
      <c r="O3" s="27">
        <v>1</v>
      </c>
      <c r="P3" s="25" t="s">
        <v>457</v>
      </c>
      <c r="Q3" s="25">
        <v>0</v>
      </c>
      <c r="R3" s="28">
        <v>2010</v>
      </c>
      <c r="S3" s="101" t="str">
        <f>IF(SUMPRODUCT((fo_makara[[#Headers],[MAKARA NO]]=fo_1288[[#This Row],[Makara Numarası]])*(fo_makara[[#Headers],[KALAN]]&lt;0))&gt;0,
    "HATA VAR",
    "")</f>
        <v/>
      </c>
      <c r="T3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3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4" spans="1:21" x14ac:dyDescent="0.3">
      <c r="A4" s="37">
        <v>45939</v>
      </c>
      <c r="B4" s="37" t="s">
        <v>3</v>
      </c>
      <c r="C4" s="83" t="s">
        <v>460</v>
      </c>
      <c r="D4" s="38" t="s">
        <v>103</v>
      </c>
      <c r="E4" s="38" t="s">
        <v>466</v>
      </c>
      <c r="F4" s="83" t="s">
        <v>388</v>
      </c>
      <c r="G4" s="38" t="s">
        <v>827</v>
      </c>
      <c r="H4" s="38">
        <v>2010</v>
      </c>
      <c r="I4" s="38">
        <v>2019</v>
      </c>
      <c r="J4" s="38">
        <v>0</v>
      </c>
      <c r="K4" s="38" t="s">
        <v>468</v>
      </c>
      <c r="L4" s="84" t="s">
        <v>464</v>
      </c>
      <c r="M4" s="38" t="s">
        <v>104</v>
      </c>
      <c r="N4" s="84" t="s">
        <v>4</v>
      </c>
      <c r="O4" s="85">
        <v>1</v>
      </c>
      <c r="P4" s="38" t="s">
        <v>464</v>
      </c>
      <c r="Q4" s="38">
        <v>0</v>
      </c>
      <c r="R4" s="86">
        <v>2019</v>
      </c>
      <c r="S4" s="102" t="str">
        <f>IF(SUMPRODUCT((fo_makara[[#Headers],[MAKARA NO]]=fo_1288[[#This Row],[Makara Numarası]])*(fo_makara[[#Headers],[KALAN]]&lt;0))&gt;0,
    "HATA VAR",
    "")</f>
        <v/>
      </c>
      <c r="T4" s="102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>HATA VAR</v>
      </c>
      <c r="U4" s="102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>HATA VAR</v>
      </c>
    </row>
    <row r="5" spans="1:21" x14ac:dyDescent="0.3">
      <c r="A5" s="22">
        <v>45941</v>
      </c>
      <c r="B5" s="23" t="s">
        <v>3</v>
      </c>
      <c r="C5" s="24" t="s">
        <v>343</v>
      </c>
      <c r="D5" s="25" t="s">
        <v>104</v>
      </c>
      <c r="E5" s="25" t="s">
        <v>179</v>
      </c>
      <c r="F5" s="24" t="s">
        <v>388</v>
      </c>
      <c r="G5" s="25" t="s">
        <v>469</v>
      </c>
      <c r="H5" s="25">
        <v>2035</v>
      </c>
      <c r="I5" s="25">
        <v>2035</v>
      </c>
      <c r="J5" s="25">
        <v>425</v>
      </c>
      <c r="K5" s="25" t="s">
        <v>104</v>
      </c>
      <c r="L5" s="26" t="s">
        <v>4</v>
      </c>
      <c r="M5" s="25" t="s">
        <v>341</v>
      </c>
      <c r="N5" s="26" t="s">
        <v>342</v>
      </c>
      <c r="O5" s="27">
        <v>1</v>
      </c>
      <c r="P5" s="26" t="s">
        <v>341</v>
      </c>
      <c r="Q5" s="25">
        <v>425</v>
      </c>
      <c r="R5" s="28">
        <v>1610</v>
      </c>
      <c r="S5" s="101" t="str">
        <f>IF(SUMPRODUCT((fo_makara[[#Headers],[MAKARA NO]]=fo_1288[[#This Row],[Makara Numarası]])*(fo_makara[[#Headers],[KALAN]]&lt;0))&gt;0,
    "HATA VAR",
    "")</f>
        <v/>
      </c>
      <c r="T5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5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6" spans="1:21" x14ac:dyDescent="0.3">
      <c r="A6" s="22">
        <v>45944</v>
      </c>
      <c r="B6" s="23" t="s">
        <v>3</v>
      </c>
      <c r="C6" s="29" t="s">
        <v>343</v>
      </c>
      <c r="D6" s="29" t="s">
        <v>103</v>
      </c>
      <c r="E6" s="29" t="s">
        <v>179</v>
      </c>
      <c r="F6" s="29" t="s">
        <v>400</v>
      </c>
      <c r="G6" s="29" t="s">
        <v>470</v>
      </c>
      <c r="H6" s="29">
        <v>2015</v>
      </c>
      <c r="I6" s="29">
        <v>2015</v>
      </c>
      <c r="J6" s="29">
        <v>0</v>
      </c>
      <c r="K6" s="29" t="s">
        <v>138</v>
      </c>
      <c r="L6" s="29" t="s">
        <v>22</v>
      </c>
      <c r="M6" s="29" t="s">
        <v>179</v>
      </c>
      <c r="N6" s="29" t="s">
        <v>471</v>
      </c>
      <c r="O6" s="30">
        <v>1</v>
      </c>
      <c r="P6" s="25" t="s">
        <v>471</v>
      </c>
      <c r="Q6" s="29">
        <v>0</v>
      </c>
      <c r="R6" s="31">
        <v>2015</v>
      </c>
      <c r="S6" s="101" t="str">
        <f>IF(SUMPRODUCT((fo_makara[[#Headers],[MAKARA NO]]=fo_1288[[#This Row],[Makara Numarası]])*(fo_makara[[#Headers],[KALAN]]&lt;0))&gt;0,
    "HATA VAR",
    "")</f>
        <v/>
      </c>
      <c r="T6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6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7" spans="1:21" x14ac:dyDescent="0.3">
      <c r="A7" s="22">
        <v>45945</v>
      </c>
      <c r="B7" s="23" t="s">
        <v>3</v>
      </c>
      <c r="C7" s="29" t="s">
        <v>343</v>
      </c>
      <c r="D7" s="29" t="s">
        <v>103</v>
      </c>
      <c r="E7" s="29" t="s">
        <v>344</v>
      </c>
      <c r="F7" s="29" t="s">
        <v>400</v>
      </c>
      <c r="G7" s="29" t="s">
        <v>472</v>
      </c>
      <c r="H7" s="29">
        <v>2049</v>
      </c>
      <c r="I7" s="29">
        <v>2049</v>
      </c>
      <c r="J7" s="29">
        <v>0</v>
      </c>
      <c r="K7" s="29" t="s">
        <v>138</v>
      </c>
      <c r="L7" s="29" t="s">
        <v>471</v>
      </c>
      <c r="M7" s="29" t="s">
        <v>473</v>
      </c>
      <c r="N7" s="29" t="s">
        <v>474</v>
      </c>
      <c r="O7" s="30">
        <v>1</v>
      </c>
      <c r="P7" s="25" t="s">
        <v>473</v>
      </c>
      <c r="Q7" s="29">
        <v>0</v>
      </c>
      <c r="R7" s="31">
        <v>2049</v>
      </c>
      <c r="S7" s="101" t="str">
        <f>IF(SUMPRODUCT((fo_makara[[#Headers],[MAKARA NO]]=fo_1288[[#This Row],[Makara Numarası]])*(fo_makara[[#Headers],[KALAN]]&lt;0))&gt;0,
    "HATA VAR",
    "")</f>
        <v/>
      </c>
      <c r="T7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7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8" spans="1:21" x14ac:dyDescent="0.3">
      <c r="A8" s="22">
        <v>45946</v>
      </c>
      <c r="B8" s="23" t="s">
        <v>5</v>
      </c>
      <c r="C8" s="29" t="s">
        <v>343</v>
      </c>
      <c r="D8" s="29" t="s">
        <v>103</v>
      </c>
      <c r="E8" s="29" t="s">
        <v>344</v>
      </c>
      <c r="F8" s="29" t="s">
        <v>400</v>
      </c>
      <c r="G8" s="29" t="s">
        <v>475</v>
      </c>
      <c r="H8" s="29">
        <v>2042</v>
      </c>
      <c r="I8" s="29">
        <v>2042</v>
      </c>
      <c r="J8" s="29">
        <v>0</v>
      </c>
      <c r="K8" s="29" t="s">
        <v>138</v>
      </c>
      <c r="L8" s="29" t="s">
        <v>474</v>
      </c>
      <c r="M8" s="29" t="s">
        <v>476</v>
      </c>
      <c r="N8" s="29" t="s">
        <v>477</v>
      </c>
      <c r="O8" s="30">
        <v>1</v>
      </c>
      <c r="P8" s="25" t="s">
        <v>476</v>
      </c>
      <c r="Q8" s="29">
        <v>0</v>
      </c>
      <c r="R8" s="31">
        <v>2042</v>
      </c>
      <c r="S8" s="101" t="str">
        <f>IF(SUMPRODUCT((fo_makara[[#Headers],[MAKARA NO]]=fo_1288[[#This Row],[Makara Numarası]])*(fo_makara[[#Headers],[KALAN]]&lt;0))&gt;0,
    "HATA VAR",
    "")</f>
        <v/>
      </c>
      <c r="T8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8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9" spans="1:21" x14ac:dyDescent="0.3">
      <c r="A9" s="22">
        <v>45952</v>
      </c>
      <c r="B9" s="23" t="s">
        <v>5</v>
      </c>
      <c r="C9" s="29" t="s">
        <v>343</v>
      </c>
      <c r="D9" s="29" t="s">
        <v>103</v>
      </c>
      <c r="E9" s="29" t="s">
        <v>347</v>
      </c>
      <c r="F9" s="29" t="s">
        <v>400</v>
      </c>
      <c r="G9" s="29" t="s">
        <v>478</v>
      </c>
      <c r="H9" s="29">
        <v>2014</v>
      </c>
      <c r="I9" s="29">
        <v>2014</v>
      </c>
      <c r="J9" s="29">
        <v>0</v>
      </c>
      <c r="K9" s="29" t="s">
        <v>138</v>
      </c>
      <c r="L9" s="29" t="s">
        <v>477</v>
      </c>
      <c r="M9" s="29" t="s">
        <v>479</v>
      </c>
      <c r="N9" s="29" t="s">
        <v>27</v>
      </c>
      <c r="O9" s="30">
        <v>1</v>
      </c>
      <c r="P9" s="25" t="s">
        <v>479</v>
      </c>
      <c r="Q9" s="29">
        <v>0</v>
      </c>
      <c r="R9" s="31">
        <v>2014</v>
      </c>
      <c r="S9" s="101" t="str">
        <f>IF(SUMPRODUCT((fo_makara[[#Headers],[MAKARA NO]]=fo_1288[[#This Row],[Makara Numarası]])*(fo_makara[[#Headers],[KALAN]]&lt;0))&gt;0,
    "HATA VAR",
    "")</f>
        <v/>
      </c>
      <c r="T9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9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0" spans="1:21" x14ac:dyDescent="0.3">
      <c r="A10" s="22">
        <v>45952</v>
      </c>
      <c r="B10" s="23" t="s">
        <v>5</v>
      </c>
      <c r="C10" s="29" t="s">
        <v>343</v>
      </c>
      <c r="D10" s="29" t="s">
        <v>103</v>
      </c>
      <c r="E10" s="29" t="s">
        <v>347</v>
      </c>
      <c r="F10" s="24" t="s">
        <v>388</v>
      </c>
      <c r="G10" s="29" t="s">
        <v>413</v>
      </c>
      <c r="H10" s="29">
        <v>1980</v>
      </c>
      <c r="I10" s="29">
        <v>1980</v>
      </c>
      <c r="J10" s="29">
        <v>1553</v>
      </c>
      <c r="K10" s="29" t="s">
        <v>138</v>
      </c>
      <c r="L10" s="29" t="s">
        <v>27</v>
      </c>
      <c r="M10" s="29" t="s">
        <v>179</v>
      </c>
      <c r="N10" s="29" t="s">
        <v>6</v>
      </c>
      <c r="O10" s="30">
        <v>1</v>
      </c>
      <c r="P10" s="25"/>
      <c r="Q10" s="29">
        <v>1553</v>
      </c>
      <c r="R10" s="31">
        <v>477</v>
      </c>
      <c r="S10" s="101" t="str">
        <f>IF(SUMPRODUCT((fo_makara[[#Headers],[MAKARA NO]]=fo_1288[[#This Row],[Makara Numarası]])*(fo_makara[[#Headers],[KALAN]]&lt;0))&gt;0,
    "HATA VAR",
    "")</f>
        <v/>
      </c>
      <c r="T10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0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1" spans="1:21" x14ac:dyDescent="0.3">
      <c r="A11" s="22">
        <v>45953</v>
      </c>
      <c r="B11" s="23" t="s">
        <v>5</v>
      </c>
      <c r="C11" s="29" t="s">
        <v>414</v>
      </c>
      <c r="D11" s="29" t="s">
        <v>347</v>
      </c>
      <c r="E11" s="29" t="s">
        <v>227</v>
      </c>
      <c r="F11" s="24" t="s">
        <v>388</v>
      </c>
      <c r="G11" s="29" t="s">
        <v>480</v>
      </c>
      <c r="H11" s="29">
        <v>2004</v>
      </c>
      <c r="I11" s="29">
        <v>2004</v>
      </c>
      <c r="J11" s="29">
        <v>0</v>
      </c>
      <c r="K11" s="29" t="s">
        <v>179</v>
      </c>
      <c r="L11" s="29" t="s">
        <v>6</v>
      </c>
      <c r="M11" s="29" t="s">
        <v>481</v>
      </c>
      <c r="N11" s="29" t="s">
        <v>482</v>
      </c>
      <c r="O11" s="30">
        <v>1</v>
      </c>
      <c r="P11" s="25" t="s">
        <v>481</v>
      </c>
      <c r="Q11" s="29">
        <v>0</v>
      </c>
      <c r="R11" s="28">
        <v>2004</v>
      </c>
      <c r="S11" s="101" t="str">
        <f>IF(SUMPRODUCT((fo_makara[[#Headers],[MAKARA NO]]=fo_1288[[#This Row],[Makara Numarası]])*(fo_makara[[#Headers],[KALAN]]&lt;0))&gt;0,
    "HATA VAR",
    "")</f>
        <v/>
      </c>
      <c r="T11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1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2" spans="1:21" x14ac:dyDescent="0.3">
      <c r="A12" s="22">
        <v>45955</v>
      </c>
      <c r="B12" s="23" t="s">
        <v>5</v>
      </c>
      <c r="C12" s="29" t="s">
        <v>418</v>
      </c>
      <c r="D12" s="29" t="s">
        <v>347</v>
      </c>
      <c r="E12" s="29" t="s">
        <v>227</v>
      </c>
      <c r="F12" s="24" t="s">
        <v>388</v>
      </c>
      <c r="G12" s="29" t="s">
        <v>419</v>
      </c>
      <c r="H12" s="29">
        <v>1991</v>
      </c>
      <c r="I12" s="29">
        <v>1991</v>
      </c>
      <c r="J12" s="29">
        <v>1285</v>
      </c>
      <c r="K12" s="29" t="s">
        <v>138</v>
      </c>
      <c r="L12" s="29" t="s">
        <v>483</v>
      </c>
      <c r="M12" s="29" t="s">
        <v>193</v>
      </c>
      <c r="N12" s="29" t="s">
        <v>200</v>
      </c>
      <c r="O12" s="30">
        <v>1</v>
      </c>
      <c r="P12" s="25" t="s">
        <v>193</v>
      </c>
      <c r="Q12" s="29">
        <v>1285</v>
      </c>
      <c r="R12" s="31">
        <v>706</v>
      </c>
      <c r="S12" s="101" t="str">
        <f>IF(SUMPRODUCT((fo_makara[[#Headers],[MAKARA NO]]=fo_1288[[#This Row],[Makara Numarası]])*(fo_makara[[#Headers],[KALAN]]&lt;0))&gt;0,
    "HATA VAR",
    "")</f>
        <v/>
      </c>
      <c r="T12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2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3" spans="1:21" x14ac:dyDescent="0.3">
      <c r="A13" s="22">
        <v>45957</v>
      </c>
      <c r="B13" s="23" t="s">
        <v>5</v>
      </c>
      <c r="C13" s="29" t="s">
        <v>420</v>
      </c>
      <c r="D13" s="29" t="s">
        <v>347</v>
      </c>
      <c r="E13" s="29" t="s">
        <v>227</v>
      </c>
      <c r="F13" s="29" t="s">
        <v>400</v>
      </c>
      <c r="G13" s="29" t="s">
        <v>484</v>
      </c>
      <c r="H13" s="29">
        <v>2014</v>
      </c>
      <c r="I13" s="29">
        <v>2014</v>
      </c>
      <c r="J13" s="29">
        <v>650</v>
      </c>
      <c r="K13" s="29" t="s">
        <v>179</v>
      </c>
      <c r="L13" s="29" t="s">
        <v>200</v>
      </c>
      <c r="M13" s="29" t="s">
        <v>204</v>
      </c>
      <c r="N13" s="29" t="s">
        <v>201</v>
      </c>
      <c r="O13" s="30">
        <v>1</v>
      </c>
      <c r="P13" s="25" t="s">
        <v>204</v>
      </c>
      <c r="Q13" s="29">
        <v>650</v>
      </c>
      <c r="R13" s="31">
        <v>1364</v>
      </c>
      <c r="S13" s="101" t="str">
        <f>IF(SUMPRODUCT((fo_makara[[#Headers],[MAKARA NO]]=fo_1288[[#This Row],[Makara Numarası]])*(fo_makara[[#Headers],[KALAN]]&lt;0))&gt;0,
    "HATA VAR",
    "")</f>
        <v/>
      </c>
      <c r="T13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3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4" spans="1:21" x14ac:dyDescent="0.3">
      <c r="A14" s="22">
        <v>45960</v>
      </c>
      <c r="B14" s="23" t="s">
        <v>7</v>
      </c>
      <c r="C14" s="29" t="s">
        <v>418</v>
      </c>
      <c r="D14" s="29" t="s">
        <v>179</v>
      </c>
      <c r="E14" s="29" t="s">
        <v>227</v>
      </c>
      <c r="F14" s="24" t="s">
        <v>388</v>
      </c>
      <c r="G14" s="29" t="s">
        <v>485</v>
      </c>
      <c r="H14" s="29">
        <v>2054</v>
      </c>
      <c r="I14" s="29">
        <v>2054</v>
      </c>
      <c r="J14" s="29">
        <v>0</v>
      </c>
      <c r="K14" s="29" t="s">
        <v>204</v>
      </c>
      <c r="L14" s="29" t="s">
        <v>201</v>
      </c>
      <c r="M14" s="29" t="s">
        <v>423</v>
      </c>
      <c r="N14" s="29" t="s">
        <v>486</v>
      </c>
      <c r="O14" s="30">
        <v>1</v>
      </c>
      <c r="P14" s="25" t="s">
        <v>423</v>
      </c>
      <c r="Q14" s="29">
        <v>0</v>
      </c>
      <c r="R14" s="31">
        <v>2054</v>
      </c>
      <c r="S14" s="101" t="str">
        <f>IF(SUMPRODUCT((fo_makara[[#Headers],[MAKARA NO]]=fo_1288[[#This Row],[Makara Numarası]])*(fo_makara[[#Headers],[KALAN]]&lt;0))&gt;0,
    "HATA VAR",
    "")</f>
        <v/>
      </c>
      <c r="T14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4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5" spans="1:21" x14ac:dyDescent="0.3">
      <c r="A15" s="22">
        <v>45961</v>
      </c>
      <c r="B15" s="23" t="s">
        <v>7</v>
      </c>
      <c r="C15" s="29" t="s">
        <v>418</v>
      </c>
      <c r="D15" s="29" t="s">
        <v>179</v>
      </c>
      <c r="E15" s="29" t="s">
        <v>227</v>
      </c>
      <c r="F15" s="24" t="s">
        <v>388</v>
      </c>
      <c r="G15" s="29" t="s">
        <v>487</v>
      </c>
      <c r="H15" s="29">
        <v>1990</v>
      </c>
      <c r="I15" s="29">
        <v>1990</v>
      </c>
      <c r="J15" s="29">
        <v>190</v>
      </c>
      <c r="K15" s="25" t="s">
        <v>425</v>
      </c>
      <c r="L15" s="29" t="s">
        <v>426</v>
      </c>
      <c r="M15" s="25" t="s">
        <v>205</v>
      </c>
      <c r="N15" s="29" t="s">
        <v>206</v>
      </c>
      <c r="O15" s="30">
        <v>1</v>
      </c>
      <c r="P15" s="25" t="s">
        <v>205</v>
      </c>
      <c r="Q15" s="29">
        <v>190</v>
      </c>
      <c r="R15" s="31">
        <v>1800</v>
      </c>
      <c r="S15" s="101" t="str">
        <f>IF(SUMPRODUCT((fo_makara[[#Headers],[MAKARA NO]]=fo_1288[[#This Row],[Makara Numarası]])*(fo_makara[[#Headers],[KALAN]]&lt;0))&gt;0,
    "HATA VAR",
    "")</f>
        <v/>
      </c>
      <c r="T15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5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6" spans="1:21" x14ac:dyDescent="0.3">
      <c r="A16" s="22">
        <v>45964</v>
      </c>
      <c r="B16" s="23" t="s">
        <v>7</v>
      </c>
      <c r="C16" s="29" t="s">
        <v>418</v>
      </c>
      <c r="D16" s="29" t="s">
        <v>179</v>
      </c>
      <c r="E16" s="29" t="s">
        <v>179</v>
      </c>
      <c r="F16" s="29" t="s">
        <v>400</v>
      </c>
      <c r="G16" s="29" t="s">
        <v>488</v>
      </c>
      <c r="H16" s="29">
        <v>2000</v>
      </c>
      <c r="I16" s="29">
        <v>2000</v>
      </c>
      <c r="J16" s="29">
        <v>0</v>
      </c>
      <c r="K16" s="29" t="s">
        <v>205</v>
      </c>
      <c r="L16" s="29" t="s">
        <v>206</v>
      </c>
      <c r="M16" s="29" t="s">
        <v>227</v>
      </c>
      <c r="N16" s="29" t="s">
        <v>8</v>
      </c>
      <c r="O16" s="30">
        <v>1</v>
      </c>
      <c r="P16" s="25"/>
      <c r="Q16" s="29">
        <v>0</v>
      </c>
      <c r="R16" s="31">
        <v>2000</v>
      </c>
      <c r="S16" s="101" t="str">
        <f>IF(SUMPRODUCT((fo_makara[[#Headers],[MAKARA NO]]=fo_1288[[#This Row],[Makara Numarası]])*(fo_makara[[#Headers],[KALAN]]&lt;0))&gt;0,
    "HATA VAR",
    "")</f>
        <v/>
      </c>
      <c r="T16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6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7" spans="1:21" x14ac:dyDescent="0.3">
      <c r="A17" s="78">
        <v>45973</v>
      </c>
      <c r="B17" s="22" t="s">
        <v>7</v>
      </c>
      <c r="C17" s="79" t="s">
        <v>428</v>
      </c>
      <c r="D17" s="79" t="s">
        <v>226</v>
      </c>
      <c r="E17" s="79" t="s">
        <v>380</v>
      </c>
      <c r="F17" s="79" t="s">
        <v>388</v>
      </c>
      <c r="G17" s="80" t="s">
        <v>467</v>
      </c>
      <c r="H17" s="79">
        <v>2021</v>
      </c>
      <c r="I17" s="79">
        <v>2021</v>
      </c>
      <c r="J17" s="79">
        <v>1000</v>
      </c>
      <c r="K17" s="79" t="s">
        <v>380</v>
      </c>
      <c r="L17" s="79" t="s">
        <v>491</v>
      </c>
      <c r="M17" s="79" t="s">
        <v>226</v>
      </c>
      <c r="N17" s="79" t="s">
        <v>490</v>
      </c>
      <c r="O17" s="81">
        <v>1</v>
      </c>
      <c r="P17" s="80"/>
      <c r="Q17" s="79">
        <v>1000</v>
      </c>
      <c r="R17" s="82">
        <v>1021</v>
      </c>
      <c r="S17" s="101" t="str">
        <f>IF(SUMPRODUCT((fo_makara[[#Headers],[MAKARA NO]]=fo_1288[[#This Row],[Makara Numarası]])*(fo_makara[[#Headers],[KALAN]]&lt;0))&gt;0,
    "HATA VAR",
    "")</f>
        <v/>
      </c>
      <c r="T17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7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8" spans="1:21" x14ac:dyDescent="0.3">
      <c r="A18" s="33">
        <v>45973</v>
      </c>
      <c r="B18" s="23" t="s">
        <v>7</v>
      </c>
      <c r="C18" s="34" t="s">
        <v>428</v>
      </c>
      <c r="D18" s="34" t="s">
        <v>226</v>
      </c>
      <c r="E18" s="34" t="s">
        <v>380</v>
      </c>
      <c r="F18" s="34" t="s">
        <v>388</v>
      </c>
      <c r="G18" s="34" t="s">
        <v>492</v>
      </c>
      <c r="H18" s="34">
        <v>2023</v>
      </c>
      <c r="I18" s="34">
        <v>2023</v>
      </c>
      <c r="J18" s="34">
        <v>0</v>
      </c>
      <c r="K18" s="29" t="s">
        <v>230</v>
      </c>
      <c r="L18" s="29" t="s">
        <v>490</v>
      </c>
      <c r="M18" s="34" t="s">
        <v>226</v>
      </c>
      <c r="N18" s="34" t="s">
        <v>493</v>
      </c>
      <c r="O18" s="32">
        <v>1</v>
      </c>
      <c r="P18" s="25" t="s">
        <v>494</v>
      </c>
      <c r="Q18" s="34">
        <v>0</v>
      </c>
      <c r="R18" s="36">
        <v>2023</v>
      </c>
      <c r="S18" s="101" t="str">
        <f>IF(SUMPRODUCT((fo_makara[[#Headers],[MAKARA NO]]=fo_1288[[#This Row],[Makara Numarası]])*(fo_makara[[#Headers],[KALAN]]&lt;0))&gt;0,
    "HATA VAR",
    "")</f>
        <v/>
      </c>
      <c r="T18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8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19" spans="1:21" x14ac:dyDescent="0.3">
      <c r="A19" s="33">
        <v>45973</v>
      </c>
      <c r="B19" s="23" t="s">
        <v>7</v>
      </c>
      <c r="C19" s="34" t="s">
        <v>428</v>
      </c>
      <c r="D19" s="34" t="s">
        <v>226</v>
      </c>
      <c r="E19" s="34" t="s">
        <v>380</v>
      </c>
      <c r="F19" s="34" t="s">
        <v>388</v>
      </c>
      <c r="G19" s="34" t="s">
        <v>495</v>
      </c>
      <c r="H19" s="34">
        <v>2024</v>
      </c>
      <c r="I19" s="34">
        <v>2024</v>
      </c>
      <c r="J19" s="34">
        <v>0</v>
      </c>
      <c r="K19" s="34" t="s">
        <v>380</v>
      </c>
      <c r="L19" s="29" t="s">
        <v>493</v>
      </c>
      <c r="M19" s="34" t="s">
        <v>226</v>
      </c>
      <c r="N19" s="34" t="s">
        <v>41</v>
      </c>
      <c r="O19" s="32">
        <v>1</v>
      </c>
      <c r="P19" s="25" t="s">
        <v>496</v>
      </c>
      <c r="Q19" s="34">
        <v>0</v>
      </c>
      <c r="R19" s="36">
        <v>2024</v>
      </c>
      <c r="S19" s="101" t="str">
        <f>IF(SUMPRODUCT((fo_makara[[#Headers],[MAKARA NO]]=fo_1288[[#This Row],[Makara Numarası]])*(fo_makara[[#Headers],[KALAN]]&lt;0))&gt;0,
    "HATA VAR",
    "")</f>
        <v/>
      </c>
      <c r="T19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19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0" spans="1:21" x14ac:dyDescent="0.3">
      <c r="A20" s="39">
        <v>45980</v>
      </c>
      <c r="B20" s="23" t="s">
        <v>2</v>
      </c>
      <c r="C20" s="29" t="s">
        <v>437</v>
      </c>
      <c r="D20" s="29" t="s">
        <v>438</v>
      </c>
      <c r="E20" s="29" t="s">
        <v>267</v>
      </c>
      <c r="F20" s="29" t="s">
        <v>400</v>
      </c>
      <c r="G20" s="29" t="s">
        <v>484</v>
      </c>
      <c r="H20" s="29">
        <v>650</v>
      </c>
      <c r="I20" s="29">
        <v>650</v>
      </c>
      <c r="J20" s="29">
        <v>0</v>
      </c>
      <c r="K20" s="29" t="s">
        <v>438</v>
      </c>
      <c r="L20" s="29" t="s">
        <v>41</v>
      </c>
      <c r="M20" s="29" t="s">
        <v>267</v>
      </c>
      <c r="N20" s="29" t="s">
        <v>497</v>
      </c>
      <c r="O20" s="32">
        <v>1</v>
      </c>
      <c r="P20" s="25" t="s">
        <v>497</v>
      </c>
      <c r="Q20" s="29">
        <v>0</v>
      </c>
      <c r="R20" s="31">
        <v>650</v>
      </c>
      <c r="S20" s="101" t="str">
        <f>IF(SUMPRODUCT((fo_makara[[#Headers],[MAKARA NO]]=fo_1288[[#This Row],[Makara Numarası]])*(fo_makara[[#Headers],[KALAN]]&lt;0))&gt;0,
    "HATA VAR",
    "")</f>
        <v/>
      </c>
      <c r="T20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0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1" spans="1:21" x14ac:dyDescent="0.3">
      <c r="A21" s="39">
        <v>45981</v>
      </c>
      <c r="B21" s="23" t="s">
        <v>2</v>
      </c>
      <c r="C21" s="29" t="s">
        <v>437</v>
      </c>
      <c r="D21" s="29" t="s">
        <v>438</v>
      </c>
      <c r="E21" s="29" t="s">
        <v>284</v>
      </c>
      <c r="F21" s="29" t="s">
        <v>400</v>
      </c>
      <c r="G21" s="29" t="s">
        <v>498</v>
      </c>
      <c r="H21" s="29">
        <v>2012</v>
      </c>
      <c r="I21" s="29">
        <v>2012</v>
      </c>
      <c r="J21" s="29">
        <v>0</v>
      </c>
      <c r="K21" s="29" t="s">
        <v>438</v>
      </c>
      <c r="L21" s="29" t="s">
        <v>497</v>
      </c>
      <c r="M21" s="29" t="s">
        <v>284</v>
      </c>
      <c r="N21" s="29" t="s">
        <v>442</v>
      </c>
      <c r="O21" s="32">
        <v>1</v>
      </c>
      <c r="P21" s="25" t="s">
        <v>442</v>
      </c>
      <c r="Q21" s="29">
        <v>0</v>
      </c>
      <c r="R21" s="31">
        <v>2012</v>
      </c>
      <c r="S21" s="101" t="str">
        <f>IF(SUMPRODUCT((fo_makara[[#Headers],[MAKARA NO]]=fo_1288[[#This Row],[Makara Numarası]])*(fo_makara[[#Headers],[KALAN]]&lt;0))&gt;0,
    "HATA VAR",
    "")</f>
        <v/>
      </c>
      <c r="T21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1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2" spans="1:21" x14ac:dyDescent="0.3">
      <c r="A22" s="39">
        <v>45981</v>
      </c>
      <c r="B22" s="23" t="s">
        <v>2</v>
      </c>
      <c r="C22" s="29" t="s">
        <v>437</v>
      </c>
      <c r="D22" s="29" t="s">
        <v>438</v>
      </c>
      <c r="E22" s="29" t="s">
        <v>284</v>
      </c>
      <c r="F22" s="29" t="s">
        <v>388</v>
      </c>
      <c r="G22" s="29" t="s">
        <v>499</v>
      </c>
      <c r="H22" s="29">
        <v>2018</v>
      </c>
      <c r="I22" s="29">
        <v>2018</v>
      </c>
      <c r="J22" s="29">
        <v>270</v>
      </c>
      <c r="K22" s="29" t="s">
        <v>438</v>
      </c>
      <c r="L22" s="29" t="s">
        <v>442</v>
      </c>
      <c r="M22" s="29" t="s">
        <v>284</v>
      </c>
      <c r="N22" s="29" t="s">
        <v>1</v>
      </c>
      <c r="O22" s="32">
        <v>1</v>
      </c>
      <c r="P22" s="25"/>
      <c r="Q22" s="29">
        <v>270</v>
      </c>
      <c r="R22" s="31">
        <v>1748</v>
      </c>
      <c r="S22" s="101" t="str">
        <f>IF(SUMPRODUCT((fo_makara[[#Headers],[MAKARA NO]]=fo_1288[[#This Row],[Makara Numarası]])*(fo_makara[[#Headers],[KALAN]]&lt;0))&gt;0,
    "HATA VAR",
    "")</f>
        <v/>
      </c>
      <c r="T22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2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3" spans="1:21" x14ac:dyDescent="0.3">
      <c r="A23" s="39">
        <v>45989</v>
      </c>
      <c r="B23" s="23" t="s">
        <v>500</v>
      </c>
      <c r="C23" s="29" t="s">
        <v>444</v>
      </c>
      <c r="D23" s="29" t="s">
        <v>284</v>
      </c>
      <c r="E23" s="29" t="s">
        <v>445</v>
      </c>
      <c r="F23" s="29" t="s">
        <v>400</v>
      </c>
      <c r="G23" s="29" t="s">
        <v>501</v>
      </c>
      <c r="H23" s="29">
        <v>2000</v>
      </c>
      <c r="I23" s="29">
        <v>2000</v>
      </c>
      <c r="J23" s="29">
        <v>730</v>
      </c>
      <c r="K23" s="29" t="s">
        <v>284</v>
      </c>
      <c r="L23" s="29" t="s">
        <v>1</v>
      </c>
      <c r="M23" s="29" t="s">
        <v>445</v>
      </c>
      <c r="N23" s="29" t="s">
        <v>447</v>
      </c>
      <c r="O23" s="32">
        <v>1</v>
      </c>
      <c r="P23" s="25" t="s">
        <v>447</v>
      </c>
      <c r="Q23" s="29">
        <v>730</v>
      </c>
      <c r="R23" s="31">
        <v>1270</v>
      </c>
      <c r="S23" s="101" t="str">
        <f>IF(SUMPRODUCT((fo_makara[[#Headers],[MAKARA NO]]=fo_1288[[#This Row],[Makara Numarası]])*(fo_makara[[#Headers],[KALAN]]&lt;0))&gt;0,
    "HATA VAR",
    "")</f>
        <v/>
      </c>
      <c r="T23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3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4" spans="1:21" x14ac:dyDescent="0.3">
      <c r="A24" s="39">
        <v>45990</v>
      </c>
      <c r="B24" s="23" t="s">
        <v>294</v>
      </c>
      <c r="C24" s="29" t="s">
        <v>444</v>
      </c>
      <c r="D24" s="29" t="s">
        <v>284</v>
      </c>
      <c r="E24" s="29" t="s">
        <v>445</v>
      </c>
      <c r="F24" s="29" t="s">
        <v>388</v>
      </c>
      <c r="G24" s="29" t="s">
        <v>448</v>
      </c>
      <c r="H24" s="29">
        <v>2010</v>
      </c>
      <c r="I24" s="29">
        <v>2010</v>
      </c>
      <c r="J24" s="29">
        <v>1225</v>
      </c>
      <c r="K24" s="29" t="s">
        <v>450</v>
      </c>
      <c r="L24" s="29" t="s">
        <v>447</v>
      </c>
      <c r="M24" s="29" t="s">
        <v>380</v>
      </c>
      <c r="N24" s="29" t="s">
        <v>449</v>
      </c>
      <c r="O24" s="32">
        <v>1</v>
      </c>
      <c r="P24" s="25" t="s">
        <v>449</v>
      </c>
      <c r="Q24" s="29">
        <v>1225</v>
      </c>
      <c r="R24" s="31">
        <v>785</v>
      </c>
      <c r="S24" s="101" t="str">
        <f>IF(SUMPRODUCT((fo_makara[[#Headers],[MAKARA NO]]=fo_1288[[#This Row],[Makara Numarası]])*(fo_makara[[#Headers],[KALAN]]&lt;0))&gt;0,
    "HATA VAR",
    "")</f>
        <v/>
      </c>
      <c r="T24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4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5" spans="1:21" x14ac:dyDescent="0.3">
      <c r="A25" s="39">
        <v>45990</v>
      </c>
      <c r="B25" s="23" t="s">
        <v>294</v>
      </c>
      <c r="C25" s="29" t="s">
        <v>504</v>
      </c>
      <c r="D25" s="29" t="s">
        <v>284</v>
      </c>
      <c r="E25" s="29" t="s">
        <v>445</v>
      </c>
      <c r="F25" s="29" t="s">
        <v>400</v>
      </c>
      <c r="G25" s="29" t="s">
        <v>505</v>
      </c>
      <c r="H25" s="29">
        <v>2030</v>
      </c>
      <c r="I25" s="29">
        <v>2030</v>
      </c>
      <c r="J25" s="29">
        <v>590</v>
      </c>
      <c r="K25" s="29" t="s">
        <v>506</v>
      </c>
      <c r="L25" s="29" t="s">
        <v>449</v>
      </c>
      <c r="M25" s="29" t="s">
        <v>450</v>
      </c>
      <c r="N25" s="29" t="s">
        <v>45</v>
      </c>
      <c r="O25" s="32">
        <v>1</v>
      </c>
      <c r="P25" s="25" t="s">
        <v>45</v>
      </c>
      <c r="Q25" s="29">
        <v>590</v>
      </c>
      <c r="R25" s="31">
        <v>1440</v>
      </c>
      <c r="S25" s="101" t="str">
        <f>IF(SUMPRODUCT((fo_makara[[#Headers],[MAKARA NO]]=fo_1288[[#This Row],[Makara Numarası]])*(fo_makara[[#Headers],[KALAN]]&lt;0))&gt;0,
    "HATA VAR",
    "")</f>
        <v/>
      </c>
      <c r="T25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5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6" spans="1:21" x14ac:dyDescent="0.3">
      <c r="A26" s="39">
        <v>45990</v>
      </c>
      <c r="B26" s="23" t="s">
        <v>294</v>
      </c>
      <c r="C26" s="29" t="s">
        <v>444</v>
      </c>
      <c r="D26" s="29" t="s">
        <v>284</v>
      </c>
      <c r="E26" s="29" t="s">
        <v>445</v>
      </c>
      <c r="F26" s="29" t="s">
        <v>388</v>
      </c>
      <c r="G26" s="29" t="s">
        <v>507</v>
      </c>
      <c r="H26" s="29">
        <v>2016</v>
      </c>
      <c r="I26" s="29">
        <v>2016</v>
      </c>
      <c r="J26" s="29">
        <v>740</v>
      </c>
      <c r="K26" s="29" t="s">
        <v>380</v>
      </c>
      <c r="L26" s="29" t="s">
        <v>45</v>
      </c>
      <c r="M26" s="29" t="s">
        <v>450</v>
      </c>
      <c r="N26" s="29" t="s">
        <v>382</v>
      </c>
      <c r="O26" s="32">
        <v>1</v>
      </c>
      <c r="P26" s="25" t="s">
        <v>382</v>
      </c>
      <c r="Q26" s="29">
        <v>740</v>
      </c>
      <c r="R26" s="31">
        <v>1276</v>
      </c>
      <c r="S26" s="101" t="str">
        <f>IF(SUMPRODUCT((fo_makara[[#Headers],[MAKARA NO]]=fo_1288[[#This Row],[Makara Numarası]])*(fo_makara[[#Headers],[KALAN]]&lt;0))&gt;0,
    "HATA VAR",
    "")</f>
        <v/>
      </c>
      <c r="T26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6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7" spans="1:21" x14ac:dyDescent="0.3">
      <c r="A27" s="39">
        <v>45990</v>
      </c>
      <c r="B27" s="23" t="s">
        <v>294</v>
      </c>
      <c r="C27" s="29" t="s">
        <v>444</v>
      </c>
      <c r="D27" s="29" t="s">
        <v>284</v>
      </c>
      <c r="E27" s="29" t="s">
        <v>445</v>
      </c>
      <c r="F27" s="29" t="s">
        <v>400</v>
      </c>
      <c r="G27" s="29" t="s">
        <v>501</v>
      </c>
      <c r="H27" s="29">
        <v>730</v>
      </c>
      <c r="I27" s="29">
        <v>730</v>
      </c>
      <c r="J27" s="29">
        <v>0</v>
      </c>
      <c r="K27" s="29" t="s">
        <v>380</v>
      </c>
      <c r="L27" s="29" t="s">
        <v>502</v>
      </c>
      <c r="M27" s="29" t="s">
        <v>450</v>
      </c>
      <c r="N27" s="29" t="s">
        <v>503</v>
      </c>
      <c r="O27" s="32">
        <v>1</v>
      </c>
      <c r="P27" s="25" t="s">
        <v>384</v>
      </c>
      <c r="Q27" s="29">
        <v>0</v>
      </c>
      <c r="R27" s="31">
        <v>730</v>
      </c>
      <c r="S27" s="101" t="str">
        <f>IF(SUMPRODUCT((fo_makara[[#Headers],[MAKARA NO]]=fo_1288[[#This Row],[Makara Numarası]])*(fo_makara[[#Headers],[KALAN]]&lt;0))&gt;0,
    "HATA VAR",
    "")</f>
        <v/>
      </c>
      <c r="T27" s="101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7" s="101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  <row r="28" spans="1:21" x14ac:dyDescent="0.3">
      <c r="A28" s="88">
        <v>45994</v>
      </c>
      <c r="B28" s="89" t="s">
        <v>294</v>
      </c>
      <c r="C28" s="90" t="s">
        <v>846</v>
      </c>
      <c r="D28" s="90" t="s">
        <v>841</v>
      </c>
      <c r="E28" s="90" t="s">
        <v>841</v>
      </c>
      <c r="F28" s="90" t="s">
        <v>388</v>
      </c>
      <c r="G28" s="90" t="s">
        <v>534</v>
      </c>
      <c r="H28" s="90">
        <v>2009</v>
      </c>
      <c r="I28" s="90">
        <v>2009</v>
      </c>
      <c r="J28" s="90">
        <v>315</v>
      </c>
      <c r="K28" s="90" t="s">
        <v>450</v>
      </c>
      <c r="L28" s="90" t="s">
        <v>384</v>
      </c>
      <c r="M28" s="90" t="s">
        <v>450</v>
      </c>
      <c r="N28" s="90" t="s">
        <v>839</v>
      </c>
      <c r="O28" s="32">
        <v>1</v>
      </c>
      <c r="P28" s="91"/>
      <c r="Q28" s="90">
        <v>315</v>
      </c>
      <c r="R28" s="92">
        <v>1694</v>
      </c>
      <c r="S28" s="103" t="str">
        <f>IF(SUMPRODUCT((fo_makara[[#Headers],[MAKARA NO]]=fo_1288[[#This Row],[Makara Numarası]])*(fo_makara[[#Headers],[KALAN]]&lt;0))&gt;0,
    "HATA VAR",
    "")</f>
        <v/>
      </c>
      <c r="T28" s="103" t="str">
        <f>IFERROR(
   IF(
      --LEFT(fo_1288[[#This Row],[Kablo Tipi]],FIND(" ",fo_1288[[#This Row],[Kablo Tipi]])-1)
      &lt;&gt;
      INDEX(fo_makara[CORE],
            MATCH(fo_1288[[#This Row],[Makara Numarası]], fo_makara[MAKARA NO], 0)
      ),
      "HATA VAR",
      ""
   ),
"HATA VAR")</f>
        <v/>
      </c>
      <c r="U28" s="103" t="str">
        <f>IFERROR(
   IF(
      IFERROR(FIND("(H)",fo_1288[[#This Row],[Kablo Tipi]]),0)&gt;0
      &lt;&gt;
      (INDEX(fo_makara[KABLO CİNSİ],
             MATCH(fo_1288[[#This Row],[Makara Numarası]],fo_makara[MAKARA NO],0)
       )="A-DQ"),
      "HATA VAR",
      ""
   ),
"HATA VAR")</f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E6CD-D4DE-4073-9092-FBBFFAE10398}">
  <dimension ref="A1:U29"/>
  <sheetViews>
    <sheetView topLeftCell="D1" zoomScale="68" workbookViewId="0">
      <selection activeCell="J23" sqref="A1:XFD1048576"/>
    </sheetView>
  </sheetViews>
  <sheetFormatPr defaultColWidth="16.6640625" defaultRowHeight="14.4" x14ac:dyDescent="0.3"/>
  <cols>
    <col min="1" max="1" width="11.109375" style="104" bestFit="1" customWidth="1"/>
    <col min="2" max="2" width="10.5546875" style="104" bestFit="1" customWidth="1"/>
    <col min="3" max="3" width="15.6640625" style="104" bestFit="1" customWidth="1"/>
    <col min="4" max="4" width="13.5546875" style="104" bestFit="1" customWidth="1"/>
    <col min="5" max="5" width="12.6640625" style="104" bestFit="1" customWidth="1"/>
    <col min="6" max="6" width="13.88671875" style="104" bestFit="1" customWidth="1"/>
    <col min="7" max="7" width="19.88671875" style="104" bestFit="1" customWidth="1"/>
    <col min="8" max="9" width="19.5546875" style="104" bestFit="1" customWidth="1"/>
    <col min="10" max="10" width="16.109375" style="104" bestFit="1" customWidth="1"/>
    <col min="11" max="11" width="19.44140625" style="104" bestFit="1" customWidth="1"/>
    <col min="12" max="12" width="16.33203125" style="104" bestFit="1" customWidth="1"/>
    <col min="13" max="13" width="16" style="104" bestFit="1" customWidth="1"/>
    <col min="14" max="14" width="12.88671875" style="104" bestFit="1" customWidth="1"/>
    <col min="15" max="15" width="15.77734375" style="104" bestFit="1" customWidth="1"/>
    <col min="16" max="16" width="11.6640625" style="104" bestFit="1" customWidth="1"/>
    <col min="17" max="17" width="22.77734375" style="104" bestFit="1" customWidth="1"/>
    <col min="18" max="18" width="13.88671875" style="104" bestFit="1" customWidth="1"/>
    <col min="19" max="19" width="16.77734375" style="104" bestFit="1" customWidth="1"/>
    <col min="20" max="20" width="15.109375" style="104" bestFit="1" customWidth="1"/>
    <col min="21" max="21" width="14.33203125" style="104" bestFit="1" customWidth="1"/>
    <col min="22" max="16384" width="16.6640625" style="104"/>
  </cols>
  <sheetData>
    <row r="1" spans="1:21" x14ac:dyDescent="0.3">
      <c r="A1" s="59" t="s">
        <v>46</v>
      </c>
      <c r="B1" s="60" t="s">
        <v>47</v>
      </c>
      <c r="C1" s="60" t="s">
        <v>48</v>
      </c>
      <c r="D1" s="60" t="s">
        <v>49</v>
      </c>
      <c r="E1" s="60" t="s">
        <v>50</v>
      </c>
      <c r="F1" s="60" t="s">
        <v>51</v>
      </c>
      <c r="G1" s="60" t="s">
        <v>52</v>
      </c>
      <c r="H1" s="60" t="s">
        <v>53</v>
      </c>
      <c r="I1" s="60" t="s">
        <v>54</v>
      </c>
      <c r="J1" s="60" t="s">
        <v>55</v>
      </c>
      <c r="K1" s="60" t="s">
        <v>56</v>
      </c>
      <c r="L1" s="60" t="s">
        <v>57</v>
      </c>
      <c r="M1" s="60" t="s">
        <v>58</v>
      </c>
      <c r="N1" s="60" t="s">
        <v>59</v>
      </c>
      <c r="O1" s="60" t="s">
        <v>60</v>
      </c>
      <c r="P1" s="60" t="s">
        <v>61</v>
      </c>
      <c r="Q1" s="60" t="s">
        <v>62</v>
      </c>
      <c r="R1" s="61" t="s">
        <v>63</v>
      </c>
      <c r="S1" s="57" t="s">
        <v>817</v>
      </c>
      <c r="T1" s="57" t="s">
        <v>818</v>
      </c>
      <c r="U1" s="57" t="s">
        <v>819</v>
      </c>
    </row>
    <row r="2" spans="1:21" x14ac:dyDescent="0.3">
      <c r="A2" s="22">
        <v>45939</v>
      </c>
      <c r="B2" s="23" t="s">
        <v>3</v>
      </c>
      <c r="C2" s="24" t="s">
        <v>385</v>
      </c>
      <c r="D2" s="25" t="s">
        <v>386</v>
      </c>
      <c r="E2" s="25" t="s">
        <v>387</v>
      </c>
      <c r="F2" s="24" t="s">
        <v>388</v>
      </c>
      <c r="G2" s="25" t="s">
        <v>389</v>
      </c>
      <c r="H2" s="25">
        <v>2048</v>
      </c>
      <c r="I2" s="25">
        <v>2048</v>
      </c>
      <c r="J2" s="25">
        <v>0</v>
      </c>
      <c r="K2" s="25" t="s">
        <v>391</v>
      </c>
      <c r="L2" s="26" t="s">
        <v>392</v>
      </c>
      <c r="M2" s="25" t="s">
        <v>104</v>
      </c>
      <c r="N2" s="26" t="s">
        <v>390</v>
      </c>
      <c r="O2" s="27">
        <v>2</v>
      </c>
      <c r="P2" s="25" t="s">
        <v>392</v>
      </c>
      <c r="Q2" s="25">
        <v>0</v>
      </c>
      <c r="R2" s="28">
        <v>2048</v>
      </c>
      <c r="S2" s="105" t="str">
        <f>IF(SUMPRODUCT((fo_makara[[#Headers],[MAKARA NO]]=fo_2288[[#This Row],[Makara Numarası]])*(fo_makara[[#Headers],[KALAN]]&lt;0))&gt;0,
    "HATA VAR",
    "")</f>
        <v/>
      </c>
      <c r="T2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3" spans="1:21" x14ac:dyDescent="0.3">
      <c r="A3" s="22">
        <v>45937</v>
      </c>
      <c r="B3" s="23" t="s">
        <v>3</v>
      </c>
      <c r="C3" s="24" t="s">
        <v>393</v>
      </c>
      <c r="D3" s="25" t="s">
        <v>103</v>
      </c>
      <c r="E3" s="25" t="s">
        <v>337</v>
      </c>
      <c r="F3" s="24" t="s">
        <v>388</v>
      </c>
      <c r="G3" s="25" t="s">
        <v>394</v>
      </c>
      <c r="H3" s="25">
        <v>2019</v>
      </c>
      <c r="I3" s="25">
        <v>2019</v>
      </c>
      <c r="J3" s="25">
        <v>0</v>
      </c>
      <c r="K3" s="25" t="s">
        <v>396</v>
      </c>
      <c r="L3" s="26" t="s">
        <v>390</v>
      </c>
      <c r="M3" s="25" t="s">
        <v>111</v>
      </c>
      <c r="N3" s="26" t="s">
        <v>395</v>
      </c>
      <c r="O3" s="27">
        <v>2</v>
      </c>
      <c r="P3" s="25" t="s">
        <v>397</v>
      </c>
      <c r="Q3" s="25">
        <v>0</v>
      </c>
      <c r="R3" s="28">
        <v>2019</v>
      </c>
      <c r="S3" s="105" t="str">
        <f>IF(SUMPRODUCT((fo_makara[[#Headers],[MAKARA NO]]=fo_2288[[#This Row],[Makara Numarası]])*(fo_makara[[#Headers],[KALAN]]&lt;0))&gt;0,
    "HATA VAR",
    "")</f>
        <v/>
      </c>
      <c r="T3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3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4" spans="1:21" x14ac:dyDescent="0.3">
      <c r="A4" s="22">
        <v>45936</v>
      </c>
      <c r="B4" s="23" t="s">
        <v>3</v>
      </c>
      <c r="C4" s="24" t="s">
        <v>336</v>
      </c>
      <c r="D4" s="25" t="s">
        <v>103</v>
      </c>
      <c r="E4" s="25" t="s">
        <v>337</v>
      </c>
      <c r="F4" s="24" t="s">
        <v>388</v>
      </c>
      <c r="G4" s="25" t="s">
        <v>398</v>
      </c>
      <c r="H4" s="25">
        <v>2029</v>
      </c>
      <c r="I4" s="25">
        <v>2029</v>
      </c>
      <c r="J4" s="25">
        <v>0</v>
      </c>
      <c r="K4" s="25" t="s">
        <v>338</v>
      </c>
      <c r="L4" s="26" t="s">
        <v>395</v>
      </c>
      <c r="M4" s="25" t="s">
        <v>111</v>
      </c>
      <c r="N4" s="26" t="s">
        <v>4</v>
      </c>
      <c r="O4" s="27">
        <v>2</v>
      </c>
      <c r="P4" s="25" t="s">
        <v>396</v>
      </c>
      <c r="Q4" s="25">
        <v>0</v>
      </c>
      <c r="R4" s="28">
        <v>2029</v>
      </c>
      <c r="S4" s="105" t="str">
        <f>IF(SUMPRODUCT((fo_makara[[#Headers],[MAKARA NO]]=fo_2288[[#This Row],[Makara Numarası]])*(fo_makara[[#Headers],[KALAN]]&lt;0))&gt;0,
    "HATA VAR",
    "")</f>
        <v/>
      </c>
      <c r="T4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4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5" spans="1:21" x14ac:dyDescent="0.3">
      <c r="A5" s="22">
        <v>45940</v>
      </c>
      <c r="B5" s="23" t="s">
        <v>3</v>
      </c>
      <c r="C5" s="24" t="s">
        <v>343</v>
      </c>
      <c r="D5" s="25" t="s">
        <v>104</v>
      </c>
      <c r="E5" s="25" t="s">
        <v>179</v>
      </c>
      <c r="F5" s="24" t="s">
        <v>388</v>
      </c>
      <c r="G5" s="25" t="s">
        <v>399</v>
      </c>
      <c r="H5" s="25">
        <v>2013</v>
      </c>
      <c r="I5" s="25">
        <v>2013</v>
      </c>
      <c r="J5" s="25">
        <v>380</v>
      </c>
      <c r="K5" s="25" t="s">
        <v>104</v>
      </c>
      <c r="L5" s="26" t="s">
        <v>4</v>
      </c>
      <c r="M5" s="26" t="s">
        <v>341</v>
      </c>
      <c r="N5" s="26" t="s">
        <v>342</v>
      </c>
      <c r="O5" s="27">
        <v>2</v>
      </c>
      <c r="P5" s="26" t="s">
        <v>341</v>
      </c>
      <c r="Q5" s="25">
        <v>380</v>
      </c>
      <c r="R5" s="28">
        <v>1633</v>
      </c>
      <c r="S5" s="105" t="str">
        <f>IF(SUMPRODUCT((fo_makara[[#Headers],[MAKARA NO]]=fo_2288[[#This Row],[Makara Numarası]])*(fo_makara[[#Headers],[KALAN]]&lt;0))&gt;0,
    "HATA VAR",
    "")</f>
        <v/>
      </c>
      <c r="T5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5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6" spans="1:21" x14ac:dyDescent="0.3">
      <c r="A6" s="22">
        <v>45944</v>
      </c>
      <c r="B6" s="23" t="s">
        <v>3</v>
      </c>
      <c r="C6" s="29" t="s">
        <v>343</v>
      </c>
      <c r="D6" s="29" t="s">
        <v>103</v>
      </c>
      <c r="E6" s="29" t="s">
        <v>179</v>
      </c>
      <c r="F6" s="29" t="s">
        <v>400</v>
      </c>
      <c r="G6" s="29" t="s">
        <v>401</v>
      </c>
      <c r="H6" s="29">
        <v>2015</v>
      </c>
      <c r="I6" s="29">
        <v>2015</v>
      </c>
      <c r="J6" s="29">
        <v>0</v>
      </c>
      <c r="K6" s="29" t="s">
        <v>138</v>
      </c>
      <c r="L6" s="29" t="s">
        <v>22</v>
      </c>
      <c r="M6" s="29" t="s">
        <v>179</v>
      </c>
      <c r="N6" s="29" t="s">
        <v>402</v>
      </c>
      <c r="O6" s="30">
        <v>2</v>
      </c>
      <c r="P6" s="25" t="s">
        <v>402</v>
      </c>
      <c r="Q6" s="29">
        <v>0</v>
      </c>
      <c r="R6" s="31">
        <v>2015</v>
      </c>
      <c r="S6" s="105" t="str">
        <f>IF(SUMPRODUCT((fo_makara[[#Headers],[MAKARA NO]]=fo_2288[[#This Row],[Makara Numarası]])*(fo_makara[[#Headers],[KALAN]]&lt;0))&gt;0,
    "HATA VAR",
    "")</f>
        <v/>
      </c>
      <c r="T6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6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7" spans="1:21" x14ac:dyDescent="0.3">
      <c r="A7" s="22">
        <v>45945</v>
      </c>
      <c r="B7" s="23" t="s">
        <v>5</v>
      </c>
      <c r="C7" s="29" t="s">
        <v>343</v>
      </c>
      <c r="D7" s="29" t="s">
        <v>103</v>
      </c>
      <c r="E7" s="29" t="s">
        <v>344</v>
      </c>
      <c r="F7" s="29" t="s">
        <v>400</v>
      </c>
      <c r="G7" s="29" t="s">
        <v>403</v>
      </c>
      <c r="H7" s="29">
        <v>2009</v>
      </c>
      <c r="I7" s="29">
        <v>2009</v>
      </c>
      <c r="J7" s="29">
        <v>0</v>
      </c>
      <c r="K7" s="29" t="s">
        <v>138</v>
      </c>
      <c r="L7" s="29" t="s">
        <v>402</v>
      </c>
      <c r="M7" s="29" t="s">
        <v>404</v>
      </c>
      <c r="N7" s="29" t="s">
        <v>405</v>
      </c>
      <c r="O7" s="30">
        <v>2</v>
      </c>
      <c r="P7" s="25" t="s">
        <v>404</v>
      </c>
      <c r="Q7" s="29">
        <v>0</v>
      </c>
      <c r="R7" s="31">
        <v>2009</v>
      </c>
      <c r="S7" s="105" t="str">
        <f>IF(SUMPRODUCT((fo_makara[[#Headers],[MAKARA NO]]=fo_2288[[#This Row],[Makara Numarası]])*(fo_makara[[#Headers],[KALAN]]&lt;0))&gt;0,
    "HATA VAR",
    "")</f>
        <v/>
      </c>
      <c r="T7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7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8" spans="1:21" x14ac:dyDescent="0.3">
      <c r="A8" s="22">
        <v>45950</v>
      </c>
      <c r="B8" s="23" t="s">
        <v>5</v>
      </c>
      <c r="C8" s="29" t="s">
        <v>406</v>
      </c>
      <c r="D8" s="25" t="s">
        <v>103</v>
      </c>
      <c r="E8" s="29" t="s">
        <v>344</v>
      </c>
      <c r="F8" s="29" t="s">
        <v>400</v>
      </c>
      <c r="G8" s="29" t="s">
        <v>407</v>
      </c>
      <c r="H8" s="29">
        <v>2063</v>
      </c>
      <c r="I8" s="29">
        <v>2063</v>
      </c>
      <c r="J8" s="29">
        <v>0</v>
      </c>
      <c r="K8" s="29" t="s">
        <v>104</v>
      </c>
      <c r="L8" s="29" t="s">
        <v>405</v>
      </c>
      <c r="M8" s="29" t="s">
        <v>408</v>
      </c>
      <c r="N8" s="29" t="s">
        <v>409</v>
      </c>
      <c r="O8" s="30">
        <v>2</v>
      </c>
      <c r="P8" s="25" t="s">
        <v>408</v>
      </c>
      <c r="Q8" s="29">
        <v>0</v>
      </c>
      <c r="R8" s="31">
        <v>2063</v>
      </c>
      <c r="S8" s="105" t="str">
        <f>IF(SUMPRODUCT((fo_makara[[#Headers],[MAKARA NO]]=fo_2288[[#This Row],[Makara Numarası]])*(fo_makara[[#Headers],[KALAN]]&lt;0))&gt;0,
    "HATA VAR",
    "")</f>
        <v/>
      </c>
      <c r="T8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8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9" spans="1:21" x14ac:dyDescent="0.3">
      <c r="A9" s="22">
        <v>45950</v>
      </c>
      <c r="B9" s="23" t="s">
        <v>5</v>
      </c>
      <c r="C9" s="29" t="s">
        <v>343</v>
      </c>
      <c r="D9" s="29" t="s">
        <v>103</v>
      </c>
      <c r="E9" s="29" t="s">
        <v>344</v>
      </c>
      <c r="F9" s="29" t="s">
        <v>400</v>
      </c>
      <c r="G9" s="29" t="s">
        <v>410</v>
      </c>
      <c r="H9" s="29">
        <v>2023</v>
      </c>
      <c r="I9" s="29">
        <v>2023</v>
      </c>
      <c r="J9" s="29">
        <v>0</v>
      </c>
      <c r="K9" s="29" t="s">
        <v>104</v>
      </c>
      <c r="L9" s="29" t="s">
        <v>409</v>
      </c>
      <c r="M9" s="29" t="s">
        <v>411</v>
      </c>
      <c r="N9" s="29" t="s">
        <v>412</v>
      </c>
      <c r="O9" s="30">
        <v>2</v>
      </c>
      <c r="P9" s="25" t="s">
        <v>412</v>
      </c>
      <c r="Q9" s="29">
        <v>0</v>
      </c>
      <c r="R9" s="31">
        <v>2023</v>
      </c>
      <c r="S9" s="105" t="str">
        <f>IF(SUMPRODUCT((fo_makara[[#Headers],[MAKARA NO]]=fo_2288[[#This Row],[Makara Numarası]])*(fo_makara[[#Headers],[KALAN]]&lt;0))&gt;0,
    "HATA VAR",
    "")</f>
        <v/>
      </c>
      <c r="T9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9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0" spans="1:21" x14ac:dyDescent="0.3">
      <c r="A10" s="22">
        <v>45952</v>
      </c>
      <c r="B10" s="23" t="s">
        <v>5</v>
      </c>
      <c r="C10" s="29" t="s">
        <v>343</v>
      </c>
      <c r="D10" s="29" t="s">
        <v>103</v>
      </c>
      <c r="E10" s="29" t="s">
        <v>347</v>
      </c>
      <c r="F10" s="24" t="s">
        <v>388</v>
      </c>
      <c r="G10" s="29" t="s">
        <v>413</v>
      </c>
      <c r="H10" s="29">
        <v>1553</v>
      </c>
      <c r="I10" s="29">
        <v>1553</v>
      </c>
      <c r="J10" s="29">
        <v>1110</v>
      </c>
      <c r="K10" s="29" t="s">
        <v>138</v>
      </c>
      <c r="L10" s="29" t="s">
        <v>412</v>
      </c>
      <c r="M10" s="29" t="s">
        <v>179</v>
      </c>
      <c r="N10" s="29" t="s">
        <v>6</v>
      </c>
      <c r="O10" s="30">
        <v>2</v>
      </c>
      <c r="P10" s="25"/>
      <c r="Q10" s="29">
        <v>1110</v>
      </c>
      <c r="R10" s="31">
        <v>443</v>
      </c>
      <c r="S10" s="105" t="str">
        <f>IF(SUMPRODUCT((fo_makara[[#Headers],[MAKARA NO]]=fo_2288[[#This Row],[Makara Numarası]])*(fo_makara[[#Headers],[KALAN]]&lt;0))&gt;0,
    "HATA VAR",
    "")</f>
        <v/>
      </c>
      <c r="T10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0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1" spans="1:21" x14ac:dyDescent="0.3">
      <c r="A11" s="22">
        <v>45953</v>
      </c>
      <c r="B11" s="23" t="s">
        <v>5</v>
      </c>
      <c r="C11" s="29" t="s">
        <v>414</v>
      </c>
      <c r="D11" s="29" t="s">
        <v>347</v>
      </c>
      <c r="E11" s="29" t="s">
        <v>227</v>
      </c>
      <c r="F11" s="24" t="s">
        <v>388</v>
      </c>
      <c r="G11" s="29" t="s">
        <v>415</v>
      </c>
      <c r="H11" s="29">
        <v>1939</v>
      </c>
      <c r="I11" s="29">
        <v>1939</v>
      </c>
      <c r="J11" s="29">
        <v>0</v>
      </c>
      <c r="K11" s="29" t="s">
        <v>179</v>
      </c>
      <c r="L11" s="29" t="s">
        <v>6</v>
      </c>
      <c r="M11" s="29" t="s">
        <v>416</v>
      </c>
      <c r="N11" s="29" t="s">
        <v>417</v>
      </c>
      <c r="O11" s="30">
        <v>2</v>
      </c>
      <c r="P11" s="25" t="s">
        <v>416</v>
      </c>
      <c r="Q11" s="29">
        <v>0</v>
      </c>
      <c r="R11" s="28">
        <v>1939</v>
      </c>
      <c r="S11" s="105" t="str">
        <f>IF(SUMPRODUCT((fo_makara[[#Headers],[MAKARA NO]]=fo_2288[[#This Row],[Makara Numarası]])*(fo_makara[[#Headers],[KALAN]]&lt;0))&gt;0,
    "HATA VAR",
    "")</f>
        <v/>
      </c>
      <c r="T11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1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2" spans="1:21" x14ac:dyDescent="0.3">
      <c r="A12" s="22">
        <v>45955</v>
      </c>
      <c r="B12" s="23" t="s">
        <v>5</v>
      </c>
      <c r="C12" s="29" t="s">
        <v>418</v>
      </c>
      <c r="D12" s="29" t="s">
        <v>347</v>
      </c>
      <c r="E12" s="29" t="s">
        <v>227</v>
      </c>
      <c r="F12" s="24" t="s">
        <v>388</v>
      </c>
      <c r="G12" s="29" t="s">
        <v>419</v>
      </c>
      <c r="H12" s="29">
        <v>1285</v>
      </c>
      <c r="I12" s="29">
        <v>1285</v>
      </c>
      <c r="J12" s="29">
        <v>500</v>
      </c>
      <c r="K12" s="29" t="s">
        <v>138</v>
      </c>
      <c r="L12" s="29" t="s">
        <v>417</v>
      </c>
      <c r="M12" s="29" t="s">
        <v>193</v>
      </c>
      <c r="N12" s="29" t="s">
        <v>200</v>
      </c>
      <c r="O12" s="30">
        <v>2</v>
      </c>
      <c r="P12" s="25" t="s">
        <v>193</v>
      </c>
      <c r="Q12" s="29">
        <v>500</v>
      </c>
      <c r="R12" s="31">
        <v>785</v>
      </c>
      <c r="S12" s="105" t="str">
        <f>IF(SUMPRODUCT((fo_makara[[#Headers],[MAKARA NO]]=fo_2288[[#This Row],[Makara Numarası]])*(fo_makara[[#Headers],[KALAN]]&lt;0))&gt;0,
    "HATA VAR",
    "")</f>
        <v/>
      </c>
      <c r="T12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2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3" spans="1:21" x14ac:dyDescent="0.3">
      <c r="A13" s="22">
        <v>45957</v>
      </c>
      <c r="B13" s="23" t="s">
        <v>5</v>
      </c>
      <c r="C13" s="29" t="s">
        <v>420</v>
      </c>
      <c r="D13" s="29" t="s">
        <v>347</v>
      </c>
      <c r="E13" s="29" t="s">
        <v>227</v>
      </c>
      <c r="F13" s="29" t="s">
        <v>400</v>
      </c>
      <c r="G13" s="29" t="s">
        <v>421</v>
      </c>
      <c r="H13" s="29">
        <v>2014</v>
      </c>
      <c r="I13" s="29">
        <v>2014</v>
      </c>
      <c r="J13" s="29">
        <v>643</v>
      </c>
      <c r="K13" s="29" t="s">
        <v>179</v>
      </c>
      <c r="L13" s="29" t="s">
        <v>200</v>
      </c>
      <c r="M13" s="29" t="s">
        <v>204</v>
      </c>
      <c r="N13" s="29" t="s">
        <v>201</v>
      </c>
      <c r="O13" s="30">
        <v>2</v>
      </c>
      <c r="P13" s="25" t="s">
        <v>204</v>
      </c>
      <c r="Q13" s="29">
        <v>643</v>
      </c>
      <c r="R13" s="31">
        <v>1371</v>
      </c>
      <c r="S13" s="105" t="str">
        <f>IF(SUMPRODUCT((fo_makara[[#Headers],[MAKARA NO]]=fo_2288[[#This Row],[Makara Numarası]])*(fo_makara[[#Headers],[KALAN]]&lt;0))&gt;0,
    "HATA VAR",
    "")</f>
        <v/>
      </c>
      <c r="T13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3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4" spans="1:21" x14ac:dyDescent="0.3">
      <c r="A14" s="22">
        <v>45960</v>
      </c>
      <c r="B14" s="23" t="s">
        <v>7</v>
      </c>
      <c r="C14" s="29" t="s">
        <v>418</v>
      </c>
      <c r="D14" s="29" t="s">
        <v>179</v>
      </c>
      <c r="E14" s="29" t="s">
        <v>227</v>
      </c>
      <c r="F14" s="24" t="s">
        <v>388</v>
      </c>
      <c r="G14" s="29" t="s">
        <v>422</v>
      </c>
      <c r="H14" s="29">
        <v>2013</v>
      </c>
      <c r="I14" s="29">
        <v>2013</v>
      </c>
      <c r="J14" s="29">
        <v>0</v>
      </c>
      <c r="K14" s="29" t="s">
        <v>204</v>
      </c>
      <c r="L14" s="29" t="s">
        <v>201</v>
      </c>
      <c r="M14" s="29" t="s">
        <v>423</v>
      </c>
      <c r="N14" s="29" t="s">
        <v>32</v>
      </c>
      <c r="O14" s="30">
        <v>2</v>
      </c>
      <c r="P14" s="25" t="s">
        <v>423</v>
      </c>
      <c r="Q14" s="29">
        <v>0</v>
      </c>
      <c r="R14" s="31">
        <v>2013</v>
      </c>
      <c r="S14" s="105" t="str">
        <f>IF(SUMPRODUCT((fo_makara[[#Headers],[MAKARA NO]]=fo_2288[[#This Row],[Makara Numarası]])*(fo_makara[[#Headers],[KALAN]]&lt;0))&gt;0,
    "HATA VAR",
    "")</f>
        <v/>
      </c>
      <c r="T14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4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5" spans="1:21" x14ac:dyDescent="0.3">
      <c r="A15" s="22">
        <v>45961</v>
      </c>
      <c r="B15" s="23" t="s">
        <v>7</v>
      </c>
      <c r="C15" s="29" t="s">
        <v>418</v>
      </c>
      <c r="D15" s="29" t="s">
        <v>179</v>
      </c>
      <c r="E15" s="29" t="s">
        <v>227</v>
      </c>
      <c r="F15" s="24" t="s">
        <v>388</v>
      </c>
      <c r="G15" s="29" t="s">
        <v>424</v>
      </c>
      <c r="H15" s="29">
        <v>2013</v>
      </c>
      <c r="I15" s="29">
        <v>2013</v>
      </c>
      <c r="J15" s="29">
        <v>220</v>
      </c>
      <c r="K15" s="25" t="s">
        <v>425</v>
      </c>
      <c r="L15" s="29" t="s">
        <v>426</v>
      </c>
      <c r="M15" s="25" t="s">
        <v>205</v>
      </c>
      <c r="N15" s="29" t="s">
        <v>206</v>
      </c>
      <c r="O15" s="30">
        <v>2</v>
      </c>
      <c r="P15" s="25" t="s">
        <v>205</v>
      </c>
      <c r="Q15" s="29">
        <v>220</v>
      </c>
      <c r="R15" s="31">
        <v>1793</v>
      </c>
      <c r="S15" s="105" t="str">
        <f>IF(SUMPRODUCT((fo_makara[[#Headers],[MAKARA NO]]=fo_2288[[#This Row],[Makara Numarası]])*(fo_makara[[#Headers],[KALAN]]&lt;0))&gt;0,
    "HATA VAR",
    "")</f>
        <v/>
      </c>
      <c r="T15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5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6" spans="1:21" x14ac:dyDescent="0.3">
      <c r="A16" s="22">
        <v>45964</v>
      </c>
      <c r="B16" s="23" t="s">
        <v>7</v>
      </c>
      <c r="C16" s="29" t="s">
        <v>418</v>
      </c>
      <c r="D16" s="29" t="s">
        <v>179</v>
      </c>
      <c r="E16" s="29" t="s">
        <v>227</v>
      </c>
      <c r="F16" s="29" t="s">
        <v>400</v>
      </c>
      <c r="G16" s="29" t="s">
        <v>427</v>
      </c>
      <c r="H16" s="29">
        <v>1905</v>
      </c>
      <c r="I16" s="29">
        <v>1905</v>
      </c>
      <c r="J16" s="29">
        <v>300</v>
      </c>
      <c r="K16" s="29" t="s">
        <v>205</v>
      </c>
      <c r="L16" s="29" t="s">
        <v>206</v>
      </c>
      <c r="M16" s="29" t="s">
        <v>222</v>
      </c>
      <c r="N16" s="29" t="s">
        <v>223</v>
      </c>
      <c r="O16" s="30">
        <v>2</v>
      </c>
      <c r="P16" s="25" t="s">
        <v>222</v>
      </c>
      <c r="Q16" s="29">
        <v>300</v>
      </c>
      <c r="R16" s="31">
        <v>1605</v>
      </c>
      <c r="S16" s="105" t="str">
        <f>IF(SUMPRODUCT((fo_makara[[#Headers],[MAKARA NO]]=fo_2288[[#This Row],[Makara Numarası]])*(fo_makara[[#Headers],[KALAN]]&lt;0))&gt;0,
    "HATA VAR",
    "")</f>
        <v/>
      </c>
      <c r="T16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6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7" spans="1:21" x14ac:dyDescent="0.3">
      <c r="A17" s="22">
        <v>45966</v>
      </c>
      <c r="B17" s="23" t="s">
        <v>7</v>
      </c>
      <c r="C17" s="29" t="s">
        <v>418</v>
      </c>
      <c r="D17" s="29" t="s">
        <v>179</v>
      </c>
      <c r="E17" s="29" t="s">
        <v>179</v>
      </c>
      <c r="F17" s="24" t="s">
        <v>388</v>
      </c>
      <c r="G17" s="29" t="s">
        <v>399</v>
      </c>
      <c r="H17" s="29">
        <v>380</v>
      </c>
      <c r="I17" s="29">
        <v>380</v>
      </c>
      <c r="J17" s="29">
        <v>0</v>
      </c>
      <c r="K17" s="29" t="s">
        <v>179</v>
      </c>
      <c r="L17" s="29" t="s">
        <v>223</v>
      </c>
      <c r="M17" s="29" t="s">
        <v>179</v>
      </c>
      <c r="N17" s="29" t="s">
        <v>8</v>
      </c>
      <c r="O17" s="30">
        <v>2</v>
      </c>
      <c r="P17" s="25"/>
      <c r="Q17" s="29">
        <v>0</v>
      </c>
      <c r="R17" s="31">
        <v>380</v>
      </c>
      <c r="S17" s="105" t="str">
        <f>IF(SUMPRODUCT((fo_makara[[#Headers],[MAKARA NO]]=fo_2288[[#This Row],[Makara Numarası]])*(fo_makara[[#Headers],[KALAN]]&lt;0))&gt;0,
    "HATA VAR",
    "")</f>
        <v/>
      </c>
      <c r="T17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7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8" spans="1:21" x14ac:dyDescent="0.3">
      <c r="A18" s="23">
        <v>45974</v>
      </c>
      <c r="B18" s="23" t="s">
        <v>2</v>
      </c>
      <c r="C18" s="29" t="s">
        <v>428</v>
      </c>
      <c r="D18" s="29" t="s">
        <v>227</v>
      </c>
      <c r="E18" s="29" t="s">
        <v>230</v>
      </c>
      <c r="F18" s="29" t="s">
        <v>388</v>
      </c>
      <c r="G18" s="29" t="s">
        <v>429</v>
      </c>
      <c r="H18" s="29">
        <v>2045</v>
      </c>
      <c r="I18" s="29">
        <v>2045</v>
      </c>
      <c r="J18" s="29">
        <v>1000</v>
      </c>
      <c r="K18" s="29" t="s">
        <v>380</v>
      </c>
      <c r="L18" s="29" t="s">
        <v>431</v>
      </c>
      <c r="M18" s="29" t="s">
        <v>226</v>
      </c>
      <c r="N18" s="29" t="s">
        <v>430</v>
      </c>
      <c r="O18" s="32">
        <v>2</v>
      </c>
      <c r="P18" s="25"/>
      <c r="Q18" s="29">
        <v>1000</v>
      </c>
      <c r="R18" s="31">
        <v>1045</v>
      </c>
      <c r="S18" s="105" t="str">
        <f>IF(SUMPRODUCT((fo_makara[[#Headers],[MAKARA NO]]=fo_2288[[#This Row],[Makara Numarası]])*(fo_makara[[#Headers],[KALAN]]&lt;0))&gt;0,
    "HATA VAR",
    "")</f>
        <v/>
      </c>
      <c r="T18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8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19" spans="1:21" x14ac:dyDescent="0.3">
      <c r="A19" s="33">
        <v>45973</v>
      </c>
      <c r="B19" s="23" t="s">
        <v>7</v>
      </c>
      <c r="C19" s="34" t="s">
        <v>428</v>
      </c>
      <c r="D19" s="34" t="s">
        <v>226</v>
      </c>
      <c r="E19" s="34" t="s">
        <v>380</v>
      </c>
      <c r="F19" s="34" t="s">
        <v>388</v>
      </c>
      <c r="G19" s="34" t="s">
        <v>432</v>
      </c>
      <c r="H19" s="34">
        <v>2019</v>
      </c>
      <c r="I19" s="34">
        <v>2019</v>
      </c>
      <c r="J19" s="34">
        <v>0</v>
      </c>
      <c r="K19" s="29" t="s">
        <v>230</v>
      </c>
      <c r="L19" s="29" t="s">
        <v>430</v>
      </c>
      <c r="M19" s="34" t="s">
        <v>226</v>
      </c>
      <c r="N19" s="34" t="s">
        <v>433</v>
      </c>
      <c r="O19" s="32">
        <v>2</v>
      </c>
      <c r="P19" s="25" t="s">
        <v>434</v>
      </c>
      <c r="Q19" s="34">
        <v>0</v>
      </c>
      <c r="R19" s="36">
        <v>2019</v>
      </c>
      <c r="S19" s="105" t="str">
        <f>IF(SUMPRODUCT((fo_makara[[#Headers],[MAKARA NO]]=fo_2288[[#This Row],[Makara Numarası]])*(fo_makara[[#Headers],[KALAN]]&lt;0))&gt;0,
    "HATA VAR",
    "")</f>
        <v/>
      </c>
      <c r="T19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19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0" spans="1:21" x14ac:dyDescent="0.3">
      <c r="A20" s="33">
        <v>45973</v>
      </c>
      <c r="B20" s="23" t="s">
        <v>7</v>
      </c>
      <c r="C20" s="34" t="s">
        <v>428</v>
      </c>
      <c r="D20" s="34" t="s">
        <v>226</v>
      </c>
      <c r="E20" s="34" t="s">
        <v>380</v>
      </c>
      <c r="F20" s="34" t="s">
        <v>388</v>
      </c>
      <c r="G20" s="34" t="s">
        <v>435</v>
      </c>
      <c r="H20" s="34">
        <v>1945</v>
      </c>
      <c r="I20" s="34">
        <v>1945</v>
      </c>
      <c r="J20" s="34">
        <v>0</v>
      </c>
      <c r="K20" s="34" t="s">
        <v>380</v>
      </c>
      <c r="L20" s="29" t="s">
        <v>433</v>
      </c>
      <c r="M20" s="34" t="s">
        <v>226</v>
      </c>
      <c r="N20" s="34" t="s">
        <v>41</v>
      </c>
      <c r="O20" s="32">
        <v>2</v>
      </c>
      <c r="P20" s="25" t="s">
        <v>436</v>
      </c>
      <c r="Q20" s="34">
        <v>0</v>
      </c>
      <c r="R20" s="36">
        <v>1945</v>
      </c>
      <c r="S20" s="105" t="str">
        <f>IF(SUMPRODUCT((fo_makara[[#Headers],[MAKARA NO]]=fo_2288[[#This Row],[Makara Numarası]])*(fo_makara[[#Headers],[KALAN]]&lt;0))&gt;0,
    "HATA VAR",
    "")</f>
        <v/>
      </c>
      <c r="T20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0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1" spans="1:21" x14ac:dyDescent="0.3">
      <c r="A21" s="39">
        <v>45980</v>
      </c>
      <c r="B21" s="23" t="s">
        <v>2</v>
      </c>
      <c r="C21" s="29" t="s">
        <v>437</v>
      </c>
      <c r="D21" s="29" t="s">
        <v>438</v>
      </c>
      <c r="E21" s="29" t="s">
        <v>439</v>
      </c>
      <c r="F21" s="29" t="s">
        <v>400</v>
      </c>
      <c r="G21" s="29" t="s">
        <v>421</v>
      </c>
      <c r="H21" s="29">
        <v>643</v>
      </c>
      <c r="I21" s="29">
        <v>643</v>
      </c>
      <c r="J21" s="29">
        <v>0</v>
      </c>
      <c r="K21" s="29" t="s">
        <v>438</v>
      </c>
      <c r="L21" s="29" t="s">
        <v>41</v>
      </c>
      <c r="M21" s="29" t="s">
        <v>439</v>
      </c>
      <c r="N21" s="29" t="s">
        <v>440</v>
      </c>
      <c r="O21" s="32">
        <v>2</v>
      </c>
      <c r="P21" s="25" t="s">
        <v>440</v>
      </c>
      <c r="Q21" s="29">
        <v>0</v>
      </c>
      <c r="R21" s="31">
        <v>643</v>
      </c>
      <c r="S21" s="105" t="str">
        <f>IF(SUMPRODUCT((fo_makara[[#Headers],[MAKARA NO]]=fo_2288[[#This Row],[Makara Numarası]])*(fo_makara[[#Headers],[KALAN]]&lt;0))&gt;0,
    "HATA VAR",
    "")</f>
        <v/>
      </c>
      <c r="T21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1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2" spans="1:21" x14ac:dyDescent="0.3">
      <c r="A22" s="39">
        <v>45981</v>
      </c>
      <c r="B22" s="23" t="s">
        <v>2</v>
      </c>
      <c r="C22" s="29" t="s">
        <v>437</v>
      </c>
      <c r="D22" s="29" t="s">
        <v>438</v>
      </c>
      <c r="E22" s="29" t="s">
        <v>284</v>
      </c>
      <c r="F22" s="29" t="s">
        <v>400</v>
      </c>
      <c r="G22" s="29" t="s">
        <v>441</v>
      </c>
      <c r="H22" s="29">
        <v>2050</v>
      </c>
      <c r="I22" s="29">
        <v>2023</v>
      </c>
      <c r="J22" s="29">
        <v>0</v>
      </c>
      <c r="K22" s="29" t="s">
        <v>438</v>
      </c>
      <c r="L22" s="29" t="s">
        <v>440</v>
      </c>
      <c r="M22" s="29" t="s">
        <v>284</v>
      </c>
      <c r="N22" s="29" t="s">
        <v>442</v>
      </c>
      <c r="O22" s="32">
        <v>2</v>
      </c>
      <c r="P22" s="25" t="s">
        <v>442</v>
      </c>
      <c r="Q22" s="29">
        <v>27</v>
      </c>
      <c r="R22" s="31">
        <v>2023</v>
      </c>
      <c r="S22" s="105" t="str">
        <f>IF(SUMPRODUCT((fo_makara[[#Headers],[MAKARA NO]]=fo_2288[[#This Row],[Makara Numarası]])*(fo_makara[[#Headers],[KALAN]]&lt;0))&gt;0,
    "HATA VAR",
    "")</f>
        <v/>
      </c>
      <c r="T22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2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3" spans="1:21" x14ac:dyDescent="0.3">
      <c r="A23" s="39">
        <v>45981</v>
      </c>
      <c r="B23" s="23" t="s">
        <v>2</v>
      </c>
      <c r="C23" s="29" t="s">
        <v>437</v>
      </c>
      <c r="D23" s="29" t="s">
        <v>438</v>
      </c>
      <c r="E23" s="29" t="s">
        <v>284</v>
      </c>
      <c r="F23" s="29" t="s">
        <v>388</v>
      </c>
      <c r="G23" s="29" t="s">
        <v>443</v>
      </c>
      <c r="H23" s="29">
        <v>2013</v>
      </c>
      <c r="I23" s="29">
        <v>2013</v>
      </c>
      <c r="J23" s="29">
        <v>300</v>
      </c>
      <c r="K23" s="29" t="s">
        <v>438</v>
      </c>
      <c r="L23" s="29" t="s">
        <v>442</v>
      </c>
      <c r="M23" s="29" t="s">
        <v>284</v>
      </c>
      <c r="N23" s="29" t="s">
        <v>1</v>
      </c>
      <c r="O23" s="32">
        <v>2</v>
      </c>
      <c r="P23" s="25"/>
      <c r="Q23" s="29">
        <v>300</v>
      </c>
      <c r="R23" s="31">
        <v>1713</v>
      </c>
      <c r="S23" s="105" t="str">
        <f>IF(SUMPRODUCT((fo_makara[[#Headers],[MAKARA NO]]=fo_2288[[#This Row],[Makara Numarası]])*(fo_makara[[#Headers],[KALAN]]&lt;0))&gt;0,
    "HATA VAR",
    "")</f>
        <v/>
      </c>
      <c r="T23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3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4" spans="1:21" x14ac:dyDescent="0.3">
      <c r="A24" s="39">
        <v>45989</v>
      </c>
      <c r="B24" s="23" t="s">
        <v>294</v>
      </c>
      <c r="C24" s="29" t="s">
        <v>444</v>
      </c>
      <c r="D24" s="29" t="s">
        <v>284</v>
      </c>
      <c r="E24" s="29" t="s">
        <v>445</v>
      </c>
      <c r="F24" s="29" t="s">
        <v>400</v>
      </c>
      <c r="G24" s="29" t="s">
        <v>446</v>
      </c>
      <c r="H24" s="29">
        <v>2029</v>
      </c>
      <c r="I24" s="29">
        <v>2029</v>
      </c>
      <c r="J24" s="29">
        <v>765</v>
      </c>
      <c r="K24" s="29" t="s">
        <v>284</v>
      </c>
      <c r="L24" s="29" t="s">
        <v>1</v>
      </c>
      <c r="M24" s="29" t="s">
        <v>445</v>
      </c>
      <c r="N24" s="29" t="s">
        <v>447</v>
      </c>
      <c r="O24" s="32">
        <v>2</v>
      </c>
      <c r="P24" s="25" t="s">
        <v>447</v>
      </c>
      <c r="Q24" s="29">
        <v>765</v>
      </c>
      <c r="R24" s="31">
        <v>1264</v>
      </c>
      <c r="S24" s="105" t="str">
        <f>IF(SUMPRODUCT((fo_makara[[#Headers],[MAKARA NO]]=fo_2288[[#This Row],[Makara Numarası]])*(fo_makara[[#Headers],[KALAN]]&lt;0))&gt;0,
    "HATA VAR",
    "")</f>
        <v/>
      </c>
      <c r="T24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4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5" spans="1:21" x14ac:dyDescent="0.3">
      <c r="A25" s="39">
        <v>45990</v>
      </c>
      <c r="B25" s="23" t="s">
        <v>294</v>
      </c>
      <c r="C25" s="29" t="s">
        <v>444</v>
      </c>
      <c r="D25" s="29" t="s">
        <v>284</v>
      </c>
      <c r="E25" s="29" t="s">
        <v>445</v>
      </c>
      <c r="F25" s="29" t="s">
        <v>388</v>
      </c>
      <c r="G25" s="29" t="s">
        <v>448</v>
      </c>
      <c r="H25" s="29">
        <v>1225</v>
      </c>
      <c r="I25" s="29">
        <v>1225</v>
      </c>
      <c r="J25" s="29">
        <v>430</v>
      </c>
      <c r="K25" s="29" t="s">
        <v>450</v>
      </c>
      <c r="L25" s="29" t="s">
        <v>447</v>
      </c>
      <c r="M25" s="29" t="s">
        <v>380</v>
      </c>
      <c r="N25" s="29" t="s">
        <v>449</v>
      </c>
      <c r="O25" s="32">
        <v>2</v>
      </c>
      <c r="P25" s="25" t="s">
        <v>449</v>
      </c>
      <c r="Q25" s="29">
        <v>430</v>
      </c>
      <c r="R25" s="31">
        <v>795</v>
      </c>
      <c r="S25" s="105" t="str">
        <f>IF(SUMPRODUCT((fo_makara[[#Headers],[MAKARA NO]]=fo_2288[[#This Row],[Makara Numarası]])*(fo_makara[[#Headers],[KALAN]]&lt;0))&gt;0,
    "HATA VAR",
    "")</f>
        <v/>
      </c>
      <c r="T25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5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6" spans="1:21" x14ac:dyDescent="0.3">
      <c r="A26" s="39">
        <v>45990</v>
      </c>
      <c r="B26" s="23" t="s">
        <v>294</v>
      </c>
      <c r="C26" s="29" t="s">
        <v>444</v>
      </c>
      <c r="D26" s="29" t="s">
        <v>284</v>
      </c>
      <c r="E26" s="29" t="s">
        <v>445</v>
      </c>
      <c r="F26" s="29" t="s">
        <v>400</v>
      </c>
      <c r="G26" s="29" t="s">
        <v>451</v>
      </c>
      <c r="H26" s="29">
        <v>2067</v>
      </c>
      <c r="I26" s="29">
        <v>2067</v>
      </c>
      <c r="J26" s="29">
        <v>640</v>
      </c>
      <c r="K26" s="29" t="s">
        <v>380</v>
      </c>
      <c r="L26" s="29" t="s">
        <v>449</v>
      </c>
      <c r="M26" s="29" t="s">
        <v>450</v>
      </c>
      <c r="N26" s="29" t="s">
        <v>45</v>
      </c>
      <c r="O26" s="32">
        <v>2</v>
      </c>
      <c r="P26" s="25" t="s">
        <v>45</v>
      </c>
      <c r="Q26" s="29">
        <v>640</v>
      </c>
      <c r="R26" s="31">
        <v>1427</v>
      </c>
      <c r="S26" s="105" t="str">
        <f>IF(SUMPRODUCT((fo_makara[[#Headers],[MAKARA NO]]=fo_2288[[#This Row],[Makara Numarası]])*(fo_makara[[#Headers],[KALAN]]&lt;0))&gt;0,
    "HATA VAR",
    "")</f>
        <v/>
      </c>
      <c r="T26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6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7" spans="1:21" x14ac:dyDescent="0.3">
      <c r="A27" s="39">
        <v>45990</v>
      </c>
      <c r="B27" s="23" t="s">
        <v>294</v>
      </c>
      <c r="C27" s="29" t="s">
        <v>444</v>
      </c>
      <c r="D27" s="29" t="s">
        <v>284</v>
      </c>
      <c r="E27" s="29" t="s">
        <v>445</v>
      </c>
      <c r="F27" s="29" t="s">
        <v>388</v>
      </c>
      <c r="G27" s="29" t="s">
        <v>452</v>
      </c>
      <c r="H27" s="29">
        <v>2004</v>
      </c>
      <c r="I27" s="29">
        <v>2004</v>
      </c>
      <c r="J27" s="29">
        <v>725</v>
      </c>
      <c r="K27" s="29" t="s">
        <v>380</v>
      </c>
      <c r="L27" s="29" t="s">
        <v>45</v>
      </c>
      <c r="M27" s="29" t="s">
        <v>450</v>
      </c>
      <c r="N27" s="29" t="s">
        <v>382</v>
      </c>
      <c r="O27" s="32">
        <v>2</v>
      </c>
      <c r="P27" s="25" t="s">
        <v>382</v>
      </c>
      <c r="Q27" s="29">
        <v>725</v>
      </c>
      <c r="R27" s="31">
        <v>1279</v>
      </c>
      <c r="S27" s="105" t="str">
        <f>IF(SUMPRODUCT((fo_makara[[#Headers],[MAKARA NO]]=fo_2288[[#This Row],[Makara Numarası]])*(fo_makara[[#Headers],[KALAN]]&lt;0))&gt;0,
    "HATA VAR",
    "")</f>
        <v/>
      </c>
      <c r="T27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7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8" spans="1:21" x14ac:dyDescent="0.3">
      <c r="A28" s="39">
        <v>45990</v>
      </c>
      <c r="B28" s="23" t="s">
        <v>294</v>
      </c>
      <c r="C28" s="29" t="s">
        <v>453</v>
      </c>
      <c r="D28" s="29" t="s">
        <v>284</v>
      </c>
      <c r="E28" s="29" t="s">
        <v>445</v>
      </c>
      <c r="F28" s="29" t="s">
        <v>400</v>
      </c>
      <c r="G28" s="29" t="s">
        <v>446</v>
      </c>
      <c r="H28" s="29">
        <v>765</v>
      </c>
      <c r="I28" s="29">
        <v>765</v>
      </c>
      <c r="J28" s="29">
        <v>0</v>
      </c>
      <c r="K28" s="29" t="s">
        <v>380</v>
      </c>
      <c r="L28" s="29" t="s">
        <v>382</v>
      </c>
      <c r="M28" s="29" t="s">
        <v>450</v>
      </c>
      <c r="N28" s="29" t="s">
        <v>384</v>
      </c>
      <c r="O28" s="32">
        <v>2</v>
      </c>
      <c r="P28" s="25" t="s">
        <v>384</v>
      </c>
      <c r="Q28" s="29">
        <v>0</v>
      </c>
      <c r="R28" s="31">
        <v>765</v>
      </c>
      <c r="S28" s="105" t="str">
        <f>IF(SUMPRODUCT((fo_makara[[#Headers],[MAKARA NO]]=fo_2288[[#This Row],[Makara Numarası]])*(fo_makara[[#Headers],[KALAN]]&lt;0))&gt;0,
    "HATA VAR",
    "")</f>
        <v/>
      </c>
      <c r="T28" s="105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8" s="105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  <row r="29" spans="1:21" x14ac:dyDescent="0.3">
      <c r="A29" s="88">
        <v>45994</v>
      </c>
      <c r="B29" s="89" t="s">
        <v>294</v>
      </c>
      <c r="C29" s="90" t="s">
        <v>846</v>
      </c>
      <c r="D29" s="90" t="s">
        <v>841</v>
      </c>
      <c r="E29" s="90" t="s">
        <v>841</v>
      </c>
      <c r="F29" s="90" t="s">
        <v>388</v>
      </c>
      <c r="G29" s="90" t="s">
        <v>541</v>
      </c>
      <c r="H29" s="90">
        <v>2025</v>
      </c>
      <c r="I29" s="90">
        <v>2025</v>
      </c>
      <c r="J29" s="90">
        <v>315</v>
      </c>
      <c r="K29" s="90" t="s">
        <v>450</v>
      </c>
      <c r="L29" s="90" t="s">
        <v>847</v>
      </c>
      <c r="M29" s="90" t="s">
        <v>450</v>
      </c>
      <c r="N29" s="90" t="s">
        <v>839</v>
      </c>
      <c r="O29" s="32">
        <v>2</v>
      </c>
      <c r="P29" s="91"/>
      <c r="Q29" s="90">
        <v>315</v>
      </c>
      <c r="R29" s="92">
        <v>1710</v>
      </c>
      <c r="S29" s="106" t="str">
        <f>IF(SUMPRODUCT((fo_makara[[#Headers],[MAKARA NO]]=fo_2288[[#This Row],[Makara Numarası]])*(fo_makara[[#Headers],[KALAN]]&lt;0))&gt;0,
    "HATA VAR",
    "")</f>
        <v/>
      </c>
      <c r="T29" s="106" t="str">
        <f>IFERROR(
   IF(
      --LEFT(fo_2288[[#This Row],[Kablo Tipi]],FIND(" ",fo_2288[[#This Row],[Kablo Tipi]])-1)
      &lt;&gt;
      INDEX(fo_makara[CORE],
            MATCH(fo_2288[[#This Row],[Makara Numarası]], fo_makara[MAKARA NO], 0)
      ),
      "HATA VAR",
      ""
   ),
"HATA VAR")</f>
        <v/>
      </c>
      <c r="U29" s="106" t="str">
        <f>IFERROR(
   IF(
      IFERROR(FIND("(H)",fo_2288[[#This Row],[Kablo Tipi]]),0)&gt;0
      &lt;&gt;
      (INDEX(fo_makara[KABLO CİNSİ],
             MATCH(fo_2288[[#This Row],[Makara Numarası]],fo_makara[MAKARA NO],0)
       )="A-DQ"),
      "HATA VAR",
      ""
   ),
"HATA VAR")</f>
        <v/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5D5D-DA4A-4879-A2C3-727C1552398C}">
  <dimension ref="A1:E163"/>
  <sheetViews>
    <sheetView zoomScale="68" workbookViewId="0">
      <selection activeCell="F126" sqref="A1:XFD1048576"/>
    </sheetView>
  </sheetViews>
  <sheetFormatPr defaultRowHeight="14.4" x14ac:dyDescent="0.3"/>
  <cols>
    <col min="1" max="1" width="10.77734375" style="1" bestFit="1" customWidth="1"/>
    <col min="2" max="2" width="11.88671875" style="1" bestFit="1" customWidth="1"/>
    <col min="3" max="3" width="13" style="1" bestFit="1" customWidth="1"/>
    <col min="4" max="4" width="20.33203125" style="1" bestFit="1" customWidth="1"/>
    <col min="5" max="5" width="19.6640625" style="1" bestFit="1" customWidth="1"/>
    <col min="6" max="6" width="8.88671875" style="1" customWidth="1"/>
    <col min="7" max="16384" width="8.88671875" style="1"/>
  </cols>
  <sheetData>
    <row r="1" spans="1:5" x14ac:dyDescent="0.3">
      <c r="A1" s="1" t="s">
        <v>820</v>
      </c>
      <c r="B1" s="1" t="s">
        <v>821</v>
      </c>
      <c r="C1" s="1" t="s">
        <v>822</v>
      </c>
      <c r="D1" s="1" t="s">
        <v>823</v>
      </c>
      <c r="E1" s="1" t="s">
        <v>824</v>
      </c>
    </row>
    <row r="2" spans="1:5" x14ac:dyDescent="0.3">
      <c r="A2" s="1">
        <v>1</v>
      </c>
      <c r="B2" s="1">
        <v>24</v>
      </c>
      <c r="C2" s="1" t="s">
        <v>71</v>
      </c>
      <c r="D2" s="2" t="s">
        <v>0</v>
      </c>
      <c r="E2" s="1" t="s">
        <v>9</v>
      </c>
    </row>
    <row r="3" spans="1:5" x14ac:dyDescent="0.3">
      <c r="A3" s="1">
        <v>1</v>
      </c>
      <c r="B3" s="1">
        <v>24</v>
      </c>
      <c r="C3" s="1" t="s">
        <v>69</v>
      </c>
      <c r="D3" s="1" t="s">
        <v>9</v>
      </c>
      <c r="E3" s="1" t="s">
        <v>75</v>
      </c>
    </row>
    <row r="4" spans="1:5" x14ac:dyDescent="0.3">
      <c r="A4" s="1">
        <v>1</v>
      </c>
      <c r="B4" s="1">
        <v>24</v>
      </c>
      <c r="C4" s="1" t="s">
        <v>77</v>
      </c>
      <c r="D4" s="1" t="s">
        <v>75</v>
      </c>
      <c r="E4" s="1" t="s">
        <v>75</v>
      </c>
    </row>
    <row r="5" spans="1:5" x14ac:dyDescent="0.3">
      <c r="A5" s="1">
        <v>1</v>
      </c>
      <c r="B5" s="1">
        <v>24</v>
      </c>
      <c r="C5" s="1" t="s">
        <v>83</v>
      </c>
      <c r="D5" s="1" t="s">
        <v>75</v>
      </c>
      <c r="E5" s="1" t="s">
        <v>87</v>
      </c>
    </row>
    <row r="6" spans="1:5" x14ac:dyDescent="0.3">
      <c r="A6" s="1">
        <v>1</v>
      </c>
      <c r="B6" s="1">
        <v>24</v>
      </c>
      <c r="C6" s="1" t="s">
        <v>89</v>
      </c>
      <c r="D6" s="1" t="s">
        <v>87</v>
      </c>
      <c r="E6" s="1" t="s">
        <v>87</v>
      </c>
    </row>
    <row r="7" spans="1:5" x14ac:dyDescent="0.3">
      <c r="A7" s="1">
        <v>1</v>
      </c>
      <c r="B7" s="1">
        <v>24</v>
      </c>
      <c r="C7" s="1" t="s">
        <v>95</v>
      </c>
      <c r="D7" s="1" t="s">
        <v>87</v>
      </c>
      <c r="E7" s="1" t="s">
        <v>87</v>
      </c>
    </row>
    <row r="8" spans="1:5" x14ac:dyDescent="0.3">
      <c r="A8" s="1">
        <v>1</v>
      </c>
      <c r="B8" s="1">
        <v>24</v>
      </c>
      <c r="C8" s="1" t="s">
        <v>100</v>
      </c>
      <c r="D8" s="1" t="s">
        <v>87</v>
      </c>
      <c r="E8" s="1" t="s">
        <v>87</v>
      </c>
    </row>
    <row r="9" spans="1:5" x14ac:dyDescent="0.3">
      <c r="A9" s="1">
        <v>1</v>
      </c>
      <c r="B9" s="1">
        <v>24</v>
      </c>
      <c r="C9" s="1" t="s">
        <v>4</v>
      </c>
      <c r="D9" s="1" t="s">
        <v>87</v>
      </c>
      <c r="E9" s="1" t="s">
        <v>9</v>
      </c>
    </row>
    <row r="10" spans="1:5" x14ac:dyDescent="0.3">
      <c r="A10" s="1">
        <v>1</v>
      </c>
      <c r="B10" s="1">
        <v>24</v>
      </c>
      <c r="C10" s="1" t="s">
        <v>110</v>
      </c>
      <c r="D10" s="1" t="s">
        <v>9</v>
      </c>
      <c r="E10" s="1" t="s">
        <v>9</v>
      </c>
    </row>
    <row r="11" spans="1:5" x14ac:dyDescent="0.3">
      <c r="A11" s="1">
        <v>1</v>
      </c>
      <c r="B11" s="1">
        <v>24</v>
      </c>
      <c r="C11" s="1" t="s">
        <v>115</v>
      </c>
      <c r="D11" s="1" t="s">
        <v>9</v>
      </c>
      <c r="E11" s="1" t="s">
        <v>9</v>
      </c>
    </row>
    <row r="12" spans="1:5" x14ac:dyDescent="0.3">
      <c r="A12" s="1">
        <v>1</v>
      </c>
      <c r="B12" s="1">
        <v>24</v>
      </c>
      <c r="C12" s="1" t="s">
        <v>126</v>
      </c>
      <c r="D12" s="1" t="s">
        <v>9</v>
      </c>
      <c r="E12" s="1" t="s">
        <v>120</v>
      </c>
    </row>
    <row r="13" spans="1:5" x14ac:dyDescent="0.3">
      <c r="A13" s="1">
        <v>1</v>
      </c>
      <c r="B13" s="1">
        <v>24</v>
      </c>
      <c r="C13" s="1" t="s">
        <v>122</v>
      </c>
      <c r="D13" s="1" t="s">
        <v>120</v>
      </c>
      <c r="E13" s="1" t="s">
        <v>10</v>
      </c>
    </row>
    <row r="14" spans="1:5" x14ac:dyDescent="0.3">
      <c r="A14" s="1">
        <v>1</v>
      </c>
      <c r="B14" s="1">
        <v>24</v>
      </c>
      <c r="C14" s="1" t="s">
        <v>131</v>
      </c>
      <c r="D14" s="1" t="s">
        <v>10</v>
      </c>
      <c r="E14" s="1" t="s">
        <v>10</v>
      </c>
    </row>
    <row r="15" spans="1:5" x14ac:dyDescent="0.3">
      <c r="A15" s="1">
        <v>1</v>
      </c>
      <c r="B15" s="1">
        <v>24</v>
      </c>
      <c r="C15" s="1" t="s">
        <v>135</v>
      </c>
      <c r="D15" s="1" t="s">
        <v>10</v>
      </c>
      <c r="E15" s="1" t="s">
        <v>10</v>
      </c>
    </row>
    <row r="16" spans="1:5" x14ac:dyDescent="0.3">
      <c r="A16" s="1">
        <v>1</v>
      </c>
      <c r="B16" s="1">
        <v>24</v>
      </c>
      <c r="C16" s="1" t="s">
        <v>140</v>
      </c>
      <c r="D16" s="1" t="s">
        <v>10</v>
      </c>
      <c r="E16" s="1" t="s">
        <v>120</v>
      </c>
    </row>
    <row r="17" spans="1:5" x14ac:dyDescent="0.3">
      <c r="A17" s="1">
        <v>1</v>
      </c>
      <c r="B17" s="1">
        <v>24</v>
      </c>
      <c r="C17" s="1" t="s">
        <v>148</v>
      </c>
      <c r="D17" s="1" t="s">
        <v>120</v>
      </c>
      <c r="E17" s="1" t="s">
        <v>120</v>
      </c>
    </row>
    <row r="18" spans="1:5" x14ac:dyDescent="0.3">
      <c r="A18" s="1">
        <v>1</v>
      </c>
      <c r="B18" s="1">
        <v>24</v>
      </c>
      <c r="C18" s="1" t="s">
        <v>150</v>
      </c>
      <c r="D18" s="1" t="s">
        <v>120</v>
      </c>
      <c r="E18" s="1" t="s">
        <v>120</v>
      </c>
    </row>
    <row r="19" spans="1:5" x14ac:dyDescent="0.3">
      <c r="A19" s="1">
        <v>1</v>
      </c>
      <c r="B19" s="1">
        <v>24</v>
      </c>
      <c r="C19" s="1" t="s">
        <v>154</v>
      </c>
      <c r="D19" s="1" t="s">
        <v>120</v>
      </c>
      <c r="E19" s="1" t="s">
        <v>120</v>
      </c>
    </row>
    <row r="20" spans="1:5" x14ac:dyDescent="0.3">
      <c r="A20" s="1">
        <v>1</v>
      </c>
      <c r="B20" s="1">
        <v>24</v>
      </c>
      <c r="C20" s="1" t="s">
        <v>173</v>
      </c>
      <c r="D20" s="1" t="s">
        <v>120</v>
      </c>
      <c r="E20" s="1" t="s">
        <v>162</v>
      </c>
    </row>
    <row r="21" spans="1:5" x14ac:dyDescent="0.3">
      <c r="A21" s="1">
        <v>1</v>
      </c>
      <c r="B21" s="1">
        <v>24</v>
      </c>
      <c r="C21" s="1" t="s">
        <v>170</v>
      </c>
      <c r="D21" s="1" t="s">
        <v>162</v>
      </c>
      <c r="E21" s="1" t="s">
        <v>162</v>
      </c>
    </row>
    <row r="22" spans="1:5" x14ac:dyDescent="0.3">
      <c r="A22" s="1">
        <v>1</v>
      </c>
      <c r="B22" s="1">
        <v>24</v>
      </c>
      <c r="C22" s="1" t="s">
        <v>166</v>
      </c>
      <c r="D22" s="1" t="s">
        <v>162</v>
      </c>
      <c r="E22" s="1" t="s">
        <v>162</v>
      </c>
    </row>
    <row r="23" spans="1:5" x14ac:dyDescent="0.3">
      <c r="A23" s="1">
        <v>1</v>
      </c>
      <c r="B23" s="1">
        <v>24</v>
      </c>
      <c r="C23" s="1" t="s">
        <v>164</v>
      </c>
      <c r="D23" s="1" t="s">
        <v>162</v>
      </c>
      <c r="E23" s="1" t="s">
        <v>11</v>
      </c>
    </row>
    <row r="24" spans="1:5" x14ac:dyDescent="0.3">
      <c r="A24" s="1">
        <v>1</v>
      </c>
      <c r="B24" s="1">
        <v>24</v>
      </c>
      <c r="C24" s="1" t="s">
        <v>177</v>
      </c>
      <c r="D24" s="1" t="s">
        <v>11</v>
      </c>
      <c r="E24" s="2" t="s">
        <v>0</v>
      </c>
    </row>
    <row r="25" spans="1:5" x14ac:dyDescent="0.3">
      <c r="A25" s="1">
        <v>1</v>
      </c>
      <c r="B25" s="1">
        <v>24</v>
      </c>
      <c r="C25" s="1" t="s">
        <v>6</v>
      </c>
      <c r="D25" s="2" t="s">
        <v>0</v>
      </c>
      <c r="E25" s="1" t="s">
        <v>11</v>
      </c>
    </row>
    <row r="26" spans="1:5" x14ac:dyDescent="0.3">
      <c r="A26" s="1">
        <v>1</v>
      </c>
      <c r="B26" s="1">
        <v>24</v>
      </c>
      <c r="C26" s="1" t="s">
        <v>181</v>
      </c>
      <c r="D26" s="1" t="s">
        <v>11</v>
      </c>
      <c r="E26" s="1" t="s">
        <v>12</v>
      </c>
    </row>
    <row r="27" spans="1:5" x14ac:dyDescent="0.3">
      <c r="A27" s="1">
        <v>1</v>
      </c>
      <c r="B27" s="1">
        <v>24</v>
      </c>
      <c r="C27" s="1" t="s">
        <v>184</v>
      </c>
      <c r="D27" s="1" t="s">
        <v>12</v>
      </c>
      <c r="E27" s="1" t="s">
        <v>11</v>
      </c>
    </row>
    <row r="28" spans="1:5" x14ac:dyDescent="0.3">
      <c r="A28" s="1">
        <v>1</v>
      </c>
      <c r="B28" s="1">
        <v>24</v>
      </c>
      <c r="C28" s="1" t="s">
        <v>187</v>
      </c>
      <c r="D28" s="1" t="s">
        <v>11</v>
      </c>
      <c r="E28" s="1" t="s">
        <v>162</v>
      </c>
    </row>
    <row r="29" spans="1:5" x14ac:dyDescent="0.3">
      <c r="A29" s="1">
        <v>1</v>
      </c>
      <c r="B29" s="1">
        <v>24</v>
      </c>
      <c r="C29" s="1" t="s">
        <v>189</v>
      </c>
      <c r="D29" s="1" t="s">
        <v>162</v>
      </c>
      <c r="E29" s="1" t="s">
        <v>12</v>
      </c>
    </row>
    <row r="30" spans="1:5" x14ac:dyDescent="0.3">
      <c r="A30" s="1">
        <v>1</v>
      </c>
      <c r="B30" s="1">
        <v>24</v>
      </c>
      <c r="C30" s="1" t="s">
        <v>192</v>
      </c>
      <c r="D30" s="1" t="s">
        <v>12</v>
      </c>
      <c r="E30" s="1" t="s">
        <v>10</v>
      </c>
    </row>
    <row r="31" spans="1:5" x14ac:dyDescent="0.3">
      <c r="A31" s="1">
        <v>1</v>
      </c>
      <c r="B31" s="1">
        <v>24</v>
      </c>
      <c r="C31" s="1" t="s">
        <v>197</v>
      </c>
      <c r="D31" s="1" t="s">
        <v>10</v>
      </c>
      <c r="E31" s="1" t="s">
        <v>12</v>
      </c>
    </row>
    <row r="32" spans="1:5" x14ac:dyDescent="0.3">
      <c r="A32" s="1">
        <v>1</v>
      </c>
      <c r="B32" s="1">
        <v>24</v>
      </c>
      <c r="C32" s="1" t="s">
        <v>200</v>
      </c>
      <c r="D32" s="1" t="s">
        <v>12</v>
      </c>
      <c r="E32" s="1" t="s">
        <v>162</v>
      </c>
    </row>
    <row r="33" spans="1:5" x14ac:dyDescent="0.3">
      <c r="A33" s="1">
        <v>1</v>
      </c>
      <c r="B33" s="1">
        <v>24</v>
      </c>
      <c r="C33" s="1" t="s">
        <v>201</v>
      </c>
      <c r="D33" s="1" t="s">
        <v>162</v>
      </c>
      <c r="E33" s="1" t="s">
        <v>203</v>
      </c>
    </row>
    <row r="34" spans="1:5" x14ac:dyDescent="0.3">
      <c r="A34" s="1">
        <v>1</v>
      </c>
      <c r="B34" s="1">
        <v>24</v>
      </c>
      <c r="C34" s="1" t="s">
        <v>206</v>
      </c>
      <c r="D34" s="1" t="s">
        <v>203</v>
      </c>
      <c r="E34" s="1" t="s">
        <v>13</v>
      </c>
    </row>
    <row r="35" spans="1:5" x14ac:dyDescent="0.3">
      <c r="A35" s="1">
        <v>1</v>
      </c>
      <c r="B35" s="1">
        <v>24</v>
      </c>
      <c r="C35" s="1" t="s">
        <v>209</v>
      </c>
      <c r="D35" s="1" t="s">
        <v>13</v>
      </c>
      <c r="E35" s="1" t="s">
        <v>203</v>
      </c>
    </row>
    <row r="36" spans="1:5" x14ac:dyDescent="0.3">
      <c r="A36" s="1">
        <v>1</v>
      </c>
      <c r="B36" s="1">
        <v>24</v>
      </c>
      <c r="C36" s="1" t="s">
        <v>212</v>
      </c>
      <c r="D36" s="1" t="s">
        <v>203</v>
      </c>
      <c r="E36" s="1" t="s">
        <v>14</v>
      </c>
    </row>
    <row r="37" spans="1:5" x14ac:dyDescent="0.3">
      <c r="A37" s="1">
        <v>1</v>
      </c>
      <c r="B37" s="1">
        <v>24</v>
      </c>
      <c r="C37" s="1" t="s">
        <v>215</v>
      </c>
      <c r="D37" s="1" t="s">
        <v>14</v>
      </c>
      <c r="E37" s="1" t="s">
        <v>203</v>
      </c>
    </row>
    <row r="38" spans="1:5" x14ac:dyDescent="0.3">
      <c r="A38" s="1">
        <v>1</v>
      </c>
      <c r="B38" s="1">
        <v>24</v>
      </c>
      <c r="C38" s="1" t="s">
        <v>218</v>
      </c>
      <c r="D38" s="1" t="s">
        <v>203</v>
      </c>
      <c r="E38" s="1" t="s">
        <v>13</v>
      </c>
    </row>
    <row r="39" spans="1:5" x14ac:dyDescent="0.3">
      <c r="A39" s="1">
        <v>1</v>
      </c>
      <c r="B39" s="1">
        <v>24</v>
      </c>
      <c r="C39" s="1" t="s">
        <v>8</v>
      </c>
      <c r="D39" s="1" t="s">
        <v>13</v>
      </c>
      <c r="E39" s="1" t="s">
        <v>12</v>
      </c>
    </row>
    <row r="40" spans="1:5" x14ac:dyDescent="0.3">
      <c r="A40" s="1">
        <v>1</v>
      </c>
      <c r="B40" s="1">
        <v>24</v>
      </c>
      <c r="C40" s="1" t="s">
        <v>231</v>
      </c>
      <c r="D40" s="1" t="s">
        <v>12</v>
      </c>
      <c r="E40" s="2" t="s">
        <v>0</v>
      </c>
    </row>
    <row r="41" spans="1:5" x14ac:dyDescent="0.3">
      <c r="A41" s="1">
        <v>1</v>
      </c>
      <c r="B41" s="1">
        <v>24</v>
      </c>
      <c r="C41" s="1" t="s">
        <v>223</v>
      </c>
      <c r="D41" s="2" t="s">
        <v>0</v>
      </c>
      <c r="E41" s="1" t="s">
        <v>14</v>
      </c>
    </row>
    <row r="42" spans="1:5" x14ac:dyDescent="0.3">
      <c r="A42" s="1">
        <v>1</v>
      </c>
      <c r="B42" s="1">
        <v>24</v>
      </c>
      <c r="C42" s="1" t="s">
        <v>8</v>
      </c>
      <c r="D42" s="1" t="s">
        <v>14</v>
      </c>
      <c r="E42" s="2" t="s">
        <v>0</v>
      </c>
    </row>
    <row r="43" spans="1:5" x14ac:dyDescent="0.3">
      <c r="A43" s="1">
        <v>1</v>
      </c>
      <c r="B43" s="1">
        <v>24</v>
      </c>
      <c r="C43" s="1" t="s">
        <v>240</v>
      </c>
      <c r="D43" s="2" t="s">
        <v>0</v>
      </c>
      <c r="E43" s="1" t="s">
        <v>15</v>
      </c>
    </row>
    <row r="44" spans="1:5" x14ac:dyDescent="0.3">
      <c r="A44" s="1">
        <v>1</v>
      </c>
      <c r="B44" s="1">
        <v>24</v>
      </c>
      <c r="C44" s="1" t="s">
        <v>239</v>
      </c>
      <c r="D44" s="1" t="s">
        <v>15</v>
      </c>
      <c r="E44" s="2" t="s">
        <v>0</v>
      </c>
    </row>
    <row r="45" spans="1:5" x14ac:dyDescent="0.3">
      <c r="A45" s="1">
        <v>1</v>
      </c>
      <c r="B45" s="1">
        <v>24</v>
      </c>
      <c r="C45" s="1" t="s">
        <v>235</v>
      </c>
      <c r="D45" s="2" t="s">
        <v>0</v>
      </c>
      <c r="E45" s="1" t="s">
        <v>12</v>
      </c>
    </row>
    <row r="46" spans="1:5" x14ac:dyDescent="0.3">
      <c r="A46" s="1">
        <v>1</v>
      </c>
      <c r="B46" s="1">
        <v>24</v>
      </c>
      <c r="C46" s="1" t="s">
        <v>236</v>
      </c>
      <c r="D46" s="1" t="s">
        <v>12</v>
      </c>
      <c r="E46" s="1" t="s">
        <v>243</v>
      </c>
    </row>
    <row r="47" spans="1:5" x14ac:dyDescent="0.3">
      <c r="A47" s="1">
        <v>1</v>
      </c>
      <c r="B47" s="1">
        <v>24</v>
      </c>
      <c r="C47" s="1" t="s">
        <v>244</v>
      </c>
      <c r="D47" s="1" t="s">
        <v>243</v>
      </c>
      <c r="E47" s="1" t="s">
        <v>243</v>
      </c>
    </row>
    <row r="48" spans="1:5" x14ac:dyDescent="0.3">
      <c r="A48" s="1">
        <v>1</v>
      </c>
      <c r="B48" s="1">
        <v>24</v>
      </c>
      <c r="C48" s="1" t="s">
        <v>248</v>
      </c>
      <c r="D48" s="1" t="s">
        <v>243</v>
      </c>
      <c r="E48" s="1" t="s">
        <v>243</v>
      </c>
    </row>
    <row r="49" spans="1:5" x14ac:dyDescent="0.3">
      <c r="A49" s="1">
        <v>1</v>
      </c>
      <c r="B49" s="1">
        <v>24</v>
      </c>
      <c r="C49" s="1" t="s">
        <v>251</v>
      </c>
      <c r="D49" s="1" t="s">
        <v>243</v>
      </c>
      <c r="E49" s="1" t="s">
        <v>243</v>
      </c>
    </row>
    <row r="50" spans="1:5" x14ac:dyDescent="0.3">
      <c r="A50" s="1">
        <v>1</v>
      </c>
      <c r="B50" s="1">
        <v>24</v>
      </c>
      <c r="C50" s="1" t="s">
        <v>254</v>
      </c>
      <c r="D50" s="1" t="s">
        <v>243</v>
      </c>
      <c r="E50" s="1" t="s">
        <v>243</v>
      </c>
    </row>
    <row r="51" spans="1:5" x14ac:dyDescent="0.3">
      <c r="A51" s="1">
        <v>1</v>
      </c>
      <c r="B51" s="1">
        <v>24</v>
      </c>
      <c r="C51" s="1" t="s">
        <v>257</v>
      </c>
      <c r="D51" s="1" t="s">
        <v>243</v>
      </c>
      <c r="E51" s="1" t="s">
        <v>20</v>
      </c>
    </row>
    <row r="52" spans="1:5" x14ac:dyDescent="0.3">
      <c r="A52" s="1">
        <v>1</v>
      </c>
      <c r="B52" s="1">
        <v>24</v>
      </c>
      <c r="C52" s="1" t="s">
        <v>260</v>
      </c>
      <c r="D52" s="1" t="s">
        <v>20</v>
      </c>
      <c r="E52" s="1" t="s">
        <v>162</v>
      </c>
    </row>
    <row r="53" spans="1:5" x14ac:dyDescent="0.3">
      <c r="A53" s="1">
        <v>1</v>
      </c>
      <c r="B53" s="1">
        <v>24</v>
      </c>
      <c r="C53" s="1" t="s">
        <v>261</v>
      </c>
      <c r="D53" s="1" t="s">
        <v>162</v>
      </c>
      <c r="E53" s="1" t="s">
        <v>17</v>
      </c>
    </row>
    <row r="54" spans="1:5" x14ac:dyDescent="0.3">
      <c r="A54" s="1">
        <v>1</v>
      </c>
      <c r="B54" s="1">
        <v>24</v>
      </c>
      <c r="C54" s="1" t="s">
        <v>274</v>
      </c>
      <c r="D54" s="1" t="s">
        <v>17</v>
      </c>
      <c r="E54" s="1" t="s">
        <v>17</v>
      </c>
    </row>
    <row r="55" spans="1:5" x14ac:dyDescent="0.3">
      <c r="A55" s="1">
        <v>1</v>
      </c>
      <c r="B55" s="1">
        <v>24</v>
      </c>
      <c r="C55" s="1" t="s">
        <v>264</v>
      </c>
      <c r="D55" s="1" t="s">
        <v>17</v>
      </c>
      <c r="E55" s="1" t="s">
        <v>16</v>
      </c>
    </row>
    <row r="56" spans="1:5" x14ac:dyDescent="0.3">
      <c r="A56" s="1">
        <v>1</v>
      </c>
      <c r="B56" s="1">
        <v>24</v>
      </c>
      <c r="C56" s="1" t="s">
        <v>265</v>
      </c>
      <c r="D56" s="1" t="s">
        <v>16</v>
      </c>
      <c r="E56" s="1" t="s">
        <v>17</v>
      </c>
    </row>
    <row r="57" spans="1:5" x14ac:dyDescent="0.3">
      <c r="A57" s="1">
        <v>1</v>
      </c>
      <c r="B57" s="1">
        <v>24</v>
      </c>
      <c r="C57" s="1" t="s">
        <v>278</v>
      </c>
      <c r="D57" s="1" t="s">
        <v>17</v>
      </c>
      <c r="E57" s="1" t="s">
        <v>17</v>
      </c>
    </row>
    <row r="58" spans="1:5" x14ac:dyDescent="0.3">
      <c r="A58" s="1">
        <v>1</v>
      </c>
      <c r="B58" s="1">
        <v>24</v>
      </c>
      <c r="C58" s="1" t="s">
        <v>281</v>
      </c>
      <c r="D58" s="1" t="s">
        <v>17</v>
      </c>
      <c r="E58" s="1" t="s">
        <v>17</v>
      </c>
    </row>
    <row r="59" spans="1:5" x14ac:dyDescent="0.3">
      <c r="A59" s="1">
        <v>1</v>
      </c>
      <c r="B59" s="1">
        <v>24</v>
      </c>
      <c r="C59" s="1" t="s">
        <v>1</v>
      </c>
      <c r="D59" s="1" t="s">
        <v>17</v>
      </c>
      <c r="E59" s="1" t="s">
        <v>162</v>
      </c>
    </row>
    <row r="60" spans="1:5" x14ac:dyDescent="0.3">
      <c r="A60" s="1">
        <v>1</v>
      </c>
      <c r="B60" s="1">
        <v>24</v>
      </c>
      <c r="C60" s="1" t="s">
        <v>269</v>
      </c>
      <c r="D60" s="1" t="s">
        <v>162</v>
      </c>
      <c r="E60" s="1" t="s">
        <v>18</v>
      </c>
    </row>
    <row r="61" spans="1:5" x14ac:dyDescent="0.3">
      <c r="A61" s="1">
        <v>1</v>
      </c>
      <c r="B61" s="1">
        <v>24</v>
      </c>
      <c r="C61" s="1" t="s">
        <v>299</v>
      </c>
      <c r="D61" s="1" t="s">
        <v>18</v>
      </c>
      <c r="E61" s="1" t="s">
        <v>19</v>
      </c>
    </row>
    <row r="62" spans="1:5" x14ac:dyDescent="0.3">
      <c r="A62" s="1">
        <v>1</v>
      </c>
      <c r="B62" s="1">
        <v>24</v>
      </c>
      <c r="C62" s="1" t="s">
        <v>297</v>
      </c>
      <c r="D62" s="1" t="s">
        <v>19</v>
      </c>
      <c r="E62" s="1" t="s">
        <v>19</v>
      </c>
    </row>
    <row r="63" spans="1:5" x14ac:dyDescent="0.3">
      <c r="A63" s="1">
        <v>1</v>
      </c>
      <c r="B63" s="1">
        <v>24</v>
      </c>
      <c r="C63" s="1" t="s">
        <v>293</v>
      </c>
      <c r="D63" s="1" t="s">
        <v>19</v>
      </c>
      <c r="E63" s="1" t="s">
        <v>19</v>
      </c>
    </row>
    <row r="64" spans="1:5" x14ac:dyDescent="0.3">
      <c r="A64" s="1">
        <v>1</v>
      </c>
      <c r="B64" s="1">
        <v>24</v>
      </c>
      <c r="C64" s="1" t="s">
        <v>292</v>
      </c>
      <c r="D64" s="1" t="s">
        <v>19</v>
      </c>
      <c r="E64" s="1" t="s">
        <v>20</v>
      </c>
    </row>
    <row r="65" spans="1:5" x14ac:dyDescent="0.3">
      <c r="A65" s="1">
        <v>1</v>
      </c>
      <c r="B65" s="1">
        <v>24</v>
      </c>
      <c r="C65" s="1" t="s">
        <v>288</v>
      </c>
      <c r="D65" s="1" t="s">
        <v>20</v>
      </c>
      <c r="E65" s="1" t="s">
        <v>19</v>
      </c>
    </row>
    <row r="66" spans="1:5" x14ac:dyDescent="0.3">
      <c r="A66" s="1">
        <v>1</v>
      </c>
      <c r="B66" s="1">
        <v>24</v>
      </c>
      <c r="C66" s="1" t="s">
        <v>287</v>
      </c>
      <c r="D66" s="1" t="s">
        <v>19</v>
      </c>
      <c r="E66" s="1" t="s">
        <v>18</v>
      </c>
    </row>
    <row r="67" spans="1:5" x14ac:dyDescent="0.3">
      <c r="A67" s="1">
        <v>1</v>
      </c>
      <c r="B67" s="1">
        <v>24</v>
      </c>
      <c r="C67" s="1" t="s">
        <v>326</v>
      </c>
      <c r="D67" s="1" t="s">
        <v>18</v>
      </c>
      <c r="E67" s="1" t="s">
        <v>18</v>
      </c>
    </row>
    <row r="68" spans="1:5" x14ac:dyDescent="0.3">
      <c r="A68" s="1">
        <v>1</v>
      </c>
      <c r="B68" s="1">
        <v>24</v>
      </c>
      <c r="C68" s="1" t="s">
        <v>324</v>
      </c>
      <c r="D68" s="1" t="s">
        <v>18</v>
      </c>
      <c r="E68" s="1" t="s">
        <v>304</v>
      </c>
    </row>
    <row r="69" spans="1:5" x14ac:dyDescent="0.3">
      <c r="A69" s="1">
        <v>1</v>
      </c>
      <c r="B69" s="1">
        <v>24</v>
      </c>
      <c r="C69" s="1" t="s">
        <v>305</v>
      </c>
      <c r="D69" s="1" t="s">
        <v>304</v>
      </c>
      <c r="E69" s="1" t="s">
        <v>304</v>
      </c>
    </row>
    <row r="70" spans="1:5" x14ac:dyDescent="0.3">
      <c r="A70" s="1">
        <v>1</v>
      </c>
      <c r="B70" s="1">
        <v>24</v>
      </c>
      <c r="C70" s="1" t="s">
        <v>306</v>
      </c>
      <c r="D70" s="1" t="s">
        <v>304</v>
      </c>
      <c r="E70" s="1" t="s">
        <v>304</v>
      </c>
    </row>
    <row r="71" spans="1:5" x14ac:dyDescent="0.3">
      <c r="A71" s="1">
        <v>1</v>
      </c>
      <c r="B71" s="1">
        <v>24</v>
      </c>
      <c r="C71" s="1" t="s">
        <v>309</v>
      </c>
      <c r="D71" s="1" t="s">
        <v>304</v>
      </c>
      <c r="E71" s="1" t="s">
        <v>304</v>
      </c>
    </row>
    <row r="72" spans="1:5" x14ac:dyDescent="0.3">
      <c r="A72" s="1">
        <v>1</v>
      </c>
      <c r="B72" s="1">
        <v>24</v>
      </c>
      <c r="C72" s="1" t="s">
        <v>313</v>
      </c>
      <c r="D72" s="1" t="s">
        <v>304</v>
      </c>
      <c r="E72" s="1" t="s">
        <v>304</v>
      </c>
    </row>
    <row r="73" spans="1:5" x14ac:dyDescent="0.3">
      <c r="A73" s="1">
        <v>1</v>
      </c>
      <c r="B73" s="1">
        <v>24</v>
      </c>
      <c r="C73" s="1" t="s">
        <v>315</v>
      </c>
      <c r="D73" s="1" t="s">
        <v>304</v>
      </c>
      <c r="E73" s="1" t="s">
        <v>318</v>
      </c>
    </row>
    <row r="74" spans="1:5" x14ac:dyDescent="0.3">
      <c r="A74" s="1">
        <v>1</v>
      </c>
      <c r="B74" s="1">
        <v>24</v>
      </c>
      <c r="C74" s="1" t="s">
        <v>319</v>
      </c>
      <c r="D74" s="1" t="s">
        <v>318</v>
      </c>
      <c r="E74" s="2" t="s">
        <v>0</v>
      </c>
    </row>
    <row r="75" spans="1:5" x14ac:dyDescent="0.3">
      <c r="A75" s="1">
        <v>2</v>
      </c>
      <c r="B75" s="1">
        <v>24</v>
      </c>
      <c r="C75" s="1" t="s">
        <v>335</v>
      </c>
      <c r="D75" s="2" t="s">
        <v>0</v>
      </c>
      <c r="E75" s="1" t="s">
        <v>75</v>
      </c>
    </row>
    <row r="76" spans="1:5" x14ac:dyDescent="0.3">
      <c r="A76" s="1">
        <v>2</v>
      </c>
      <c r="B76" s="1">
        <v>24</v>
      </c>
      <c r="C76" s="1" t="s">
        <v>333</v>
      </c>
      <c r="D76" s="1" t="s">
        <v>75</v>
      </c>
      <c r="E76" s="1" t="s">
        <v>21</v>
      </c>
    </row>
    <row r="77" spans="1:5" x14ac:dyDescent="0.3">
      <c r="A77" s="1">
        <v>2</v>
      </c>
      <c r="B77" s="1">
        <v>24</v>
      </c>
      <c r="C77" s="1" t="s">
        <v>4</v>
      </c>
      <c r="D77" s="1" t="s">
        <v>21</v>
      </c>
      <c r="E77" s="1" t="s">
        <v>9</v>
      </c>
    </row>
    <row r="78" spans="1:5" x14ac:dyDescent="0.3">
      <c r="A78" s="1">
        <v>2</v>
      </c>
      <c r="B78" s="1">
        <v>24</v>
      </c>
      <c r="C78" s="1" t="s">
        <v>342</v>
      </c>
      <c r="D78" s="1" t="s">
        <v>9</v>
      </c>
      <c r="E78" s="1" t="s">
        <v>23</v>
      </c>
    </row>
    <row r="79" spans="1:5" x14ac:dyDescent="0.3">
      <c r="A79" s="1">
        <v>2</v>
      </c>
      <c r="B79" s="1">
        <v>24</v>
      </c>
      <c r="C79" s="1" t="s">
        <v>24</v>
      </c>
      <c r="D79" s="1" t="s">
        <v>23</v>
      </c>
      <c r="E79" s="1" t="s">
        <v>25</v>
      </c>
    </row>
    <row r="80" spans="1:5" x14ac:dyDescent="0.3">
      <c r="A80" s="1">
        <v>2</v>
      </c>
      <c r="B80" s="1">
        <v>24</v>
      </c>
      <c r="C80" s="1" t="s">
        <v>26</v>
      </c>
      <c r="D80" s="1" t="s">
        <v>25</v>
      </c>
      <c r="E80" s="1" t="s">
        <v>11</v>
      </c>
    </row>
    <row r="81" spans="1:5" x14ac:dyDescent="0.3">
      <c r="A81" s="1">
        <v>2</v>
      </c>
      <c r="B81" s="1">
        <v>24</v>
      </c>
      <c r="C81" s="1" t="s">
        <v>6</v>
      </c>
      <c r="D81" s="1" t="s">
        <v>11</v>
      </c>
      <c r="E81" s="1" t="s">
        <v>11</v>
      </c>
    </row>
    <row r="82" spans="1:5" x14ac:dyDescent="0.3">
      <c r="A82" s="1">
        <v>2</v>
      </c>
      <c r="B82" s="1">
        <v>24</v>
      </c>
      <c r="C82" s="1" t="s">
        <v>28</v>
      </c>
      <c r="D82" s="1" t="s">
        <v>11</v>
      </c>
      <c r="E82" s="1" t="s">
        <v>10</v>
      </c>
    </row>
    <row r="83" spans="1:5" x14ac:dyDescent="0.3">
      <c r="A83" s="1">
        <v>2</v>
      </c>
      <c r="B83" s="1">
        <v>24</v>
      </c>
      <c r="C83" s="1" t="s">
        <v>29</v>
      </c>
      <c r="D83" s="1" t="s">
        <v>10</v>
      </c>
      <c r="E83" s="1" t="s">
        <v>12</v>
      </c>
    </row>
    <row r="84" spans="1:5" x14ac:dyDescent="0.3">
      <c r="A84" s="1">
        <v>2</v>
      </c>
      <c r="B84" s="1">
        <v>24</v>
      </c>
      <c r="C84" s="1" t="s">
        <v>30</v>
      </c>
      <c r="D84" s="1" t="s">
        <v>12</v>
      </c>
      <c r="E84" s="1" t="s">
        <v>12</v>
      </c>
    </row>
    <row r="85" spans="1:5" x14ac:dyDescent="0.3">
      <c r="A85" s="1">
        <v>2</v>
      </c>
      <c r="B85" s="1">
        <v>24</v>
      </c>
      <c r="C85" s="1" t="s">
        <v>31</v>
      </c>
      <c r="D85" s="1" t="s">
        <v>12</v>
      </c>
      <c r="E85" s="1" t="s">
        <v>12</v>
      </c>
    </row>
    <row r="86" spans="1:5" x14ac:dyDescent="0.3">
      <c r="A86" s="1">
        <v>2</v>
      </c>
      <c r="B86" s="1">
        <v>24</v>
      </c>
      <c r="C86" s="1" t="s">
        <v>32</v>
      </c>
      <c r="D86" s="1" t="s">
        <v>12</v>
      </c>
      <c r="E86" s="1" t="s">
        <v>14</v>
      </c>
    </row>
    <row r="87" spans="1:5" x14ac:dyDescent="0.3">
      <c r="A87" s="1">
        <v>2</v>
      </c>
      <c r="B87" s="1">
        <v>24</v>
      </c>
      <c r="C87" s="1" t="s">
        <v>33</v>
      </c>
      <c r="D87" s="1" t="s">
        <v>14</v>
      </c>
      <c r="E87" s="1" t="s">
        <v>14</v>
      </c>
    </row>
    <row r="88" spans="1:5" x14ac:dyDescent="0.3">
      <c r="A88" s="1">
        <v>2</v>
      </c>
      <c r="B88" s="1">
        <v>24</v>
      </c>
      <c r="C88" s="1" t="s">
        <v>34</v>
      </c>
      <c r="D88" s="1" t="s">
        <v>14</v>
      </c>
      <c r="E88" s="1" t="s">
        <v>13</v>
      </c>
    </row>
    <row r="89" spans="1:5" x14ac:dyDescent="0.3">
      <c r="A89" s="1">
        <v>2</v>
      </c>
      <c r="B89" s="1">
        <v>24</v>
      </c>
      <c r="C89" s="1" t="s">
        <v>35</v>
      </c>
      <c r="D89" s="1" t="s">
        <v>13</v>
      </c>
      <c r="E89" s="1" t="s">
        <v>13</v>
      </c>
    </row>
    <row r="90" spans="1:5" x14ac:dyDescent="0.3">
      <c r="A90" s="1">
        <v>2</v>
      </c>
      <c r="B90" s="1">
        <v>24</v>
      </c>
      <c r="C90" s="1" t="s">
        <v>36</v>
      </c>
      <c r="D90" s="1" t="s">
        <v>13</v>
      </c>
      <c r="E90" s="1" t="s">
        <v>14</v>
      </c>
    </row>
    <row r="91" spans="1:5" x14ac:dyDescent="0.3">
      <c r="A91" s="1">
        <v>2</v>
      </c>
      <c r="B91" s="1">
        <v>24</v>
      </c>
      <c r="C91" s="1" t="s">
        <v>37</v>
      </c>
      <c r="D91" s="1" t="s">
        <v>14</v>
      </c>
      <c r="E91" s="1" t="s">
        <v>14</v>
      </c>
    </row>
    <row r="92" spans="1:5" x14ac:dyDescent="0.3">
      <c r="A92" s="1">
        <v>2</v>
      </c>
      <c r="B92" s="1">
        <v>24</v>
      </c>
      <c r="C92" s="1" t="s">
        <v>8</v>
      </c>
      <c r="D92" s="1" t="s">
        <v>14</v>
      </c>
      <c r="E92" s="2" t="s">
        <v>0</v>
      </c>
    </row>
    <row r="93" spans="1:5" x14ac:dyDescent="0.3">
      <c r="A93" s="1">
        <v>2</v>
      </c>
      <c r="B93" s="1">
        <v>24</v>
      </c>
      <c r="C93" s="1" t="s">
        <v>38</v>
      </c>
      <c r="D93" s="2" t="s">
        <v>0</v>
      </c>
      <c r="E93" s="1" t="s">
        <v>12</v>
      </c>
    </row>
    <row r="94" spans="1:5" x14ac:dyDescent="0.3">
      <c r="A94" s="1">
        <v>2</v>
      </c>
      <c r="B94" s="1">
        <v>24</v>
      </c>
      <c r="C94" s="1" t="s">
        <v>371</v>
      </c>
      <c r="D94" s="1" t="s">
        <v>12</v>
      </c>
      <c r="E94" s="1" t="s">
        <v>15</v>
      </c>
    </row>
    <row r="95" spans="1:5" x14ac:dyDescent="0.3">
      <c r="A95" s="1">
        <v>2</v>
      </c>
      <c r="B95" s="1">
        <v>24</v>
      </c>
      <c r="C95" s="1" t="s">
        <v>39</v>
      </c>
      <c r="D95" s="1" t="s">
        <v>15</v>
      </c>
      <c r="E95" s="1" t="s">
        <v>15</v>
      </c>
    </row>
    <row r="96" spans="1:5" x14ac:dyDescent="0.3">
      <c r="A96" s="1">
        <v>2</v>
      </c>
      <c r="B96" s="1">
        <v>24</v>
      </c>
      <c r="C96" s="1" t="s">
        <v>40</v>
      </c>
      <c r="D96" s="1" t="s">
        <v>15</v>
      </c>
      <c r="E96" s="1" t="s">
        <v>17</v>
      </c>
    </row>
    <row r="97" spans="1:5" x14ac:dyDescent="0.3">
      <c r="A97" s="1">
        <v>2</v>
      </c>
      <c r="B97" s="1">
        <v>24</v>
      </c>
      <c r="C97" s="1" t="s">
        <v>41</v>
      </c>
      <c r="D97" s="1" t="s">
        <v>17</v>
      </c>
      <c r="E97" s="1" t="s">
        <v>16</v>
      </c>
    </row>
    <row r="98" spans="1:5" x14ac:dyDescent="0.3">
      <c r="A98" s="1">
        <v>2</v>
      </c>
      <c r="B98" s="1">
        <v>24</v>
      </c>
      <c r="C98" s="1" t="s">
        <v>42</v>
      </c>
      <c r="D98" s="1" t="s">
        <v>16</v>
      </c>
      <c r="E98" s="1" t="s">
        <v>19</v>
      </c>
    </row>
    <row r="99" spans="1:5" x14ac:dyDescent="0.3">
      <c r="A99" s="1">
        <v>2</v>
      </c>
      <c r="B99" s="1">
        <v>24</v>
      </c>
      <c r="C99" s="1" t="s">
        <v>1</v>
      </c>
      <c r="D99" s="1" t="s">
        <v>19</v>
      </c>
      <c r="E99" s="1" t="s">
        <v>20</v>
      </c>
    </row>
    <row r="100" spans="1:5" x14ac:dyDescent="0.3">
      <c r="A100" s="1">
        <v>2</v>
      </c>
      <c r="B100" s="1">
        <v>24</v>
      </c>
      <c r="C100" s="1" t="s">
        <v>43</v>
      </c>
      <c r="D100" s="1" t="s">
        <v>20</v>
      </c>
      <c r="E100" s="1" t="s">
        <v>19</v>
      </c>
    </row>
    <row r="101" spans="1:5" x14ac:dyDescent="0.3">
      <c r="A101" s="1">
        <v>2</v>
      </c>
      <c r="B101" s="1">
        <v>24</v>
      </c>
      <c r="C101" s="1" t="s">
        <v>44</v>
      </c>
      <c r="D101" s="1" t="s">
        <v>19</v>
      </c>
      <c r="E101" s="1" t="s">
        <v>18</v>
      </c>
    </row>
    <row r="102" spans="1:5" x14ac:dyDescent="0.3">
      <c r="A102" s="1">
        <v>2</v>
      </c>
      <c r="B102" s="1">
        <v>24</v>
      </c>
      <c r="C102" s="1" t="s">
        <v>45</v>
      </c>
      <c r="D102" s="1" t="s">
        <v>18</v>
      </c>
      <c r="E102" s="1" t="s">
        <v>304</v>
      </c>
    </row>
    <row r="103" spans="1:5" x14ac:dyDescent="0.3">
      <c r="A103" s="1">
        <v>2</v>
      </c>
      <c r="B103" s="1">
        <v>24</v>
      </c>
      <c r="C103" s="1" t="s">
        <v>383</v>
      </c>
      <c r="D103" s="1" t="s">
        <v>304</v>
      </c>
      <c r="E103" s="1" t="s">
        <v>318</v>
      </c>
    </row>
    <row r="104" spans="1:5" x14ac:dyDescent="0.3">
      <c r="A104" s="1">
        <v>2</v>
      </c>
      <c r="B104" s="1">
        <v>24</v>
      </c>
      <c r="C104" s="1" t="s">
        <v>384</v>
      </c>
      <c r="D104" s="1" t="s">
        <v>318</v>
      </c>
      <c r="E104" s="2" t="s">
        <v>0</v>
      </c>
    </row>
    <row r="105" spans="1:5" x14ac:dyDescent="0.3">
      <c r="A105" s="1">
        <v>1</v>
      </c>
      <c r="B105" s="1">
        <v>288</v>
      </c>
      <c r="C105" s="1" t="s">
        <v>459</v>
      </c>
      <c r="D105" s="2" t="s">
        <v>0</v>
      </c>
      <c r="E105" s="1" t="s">
        <v>456</v>
      </c>
    </row>
    <row r="106" spans="1:5" x14ac:dyDescent="0.3">
      <c r="A106" s="1">
        <v>1</v>
      </c>
      <c r="B106" s="1">
        <v>288</v>
      </c>
      <c r="C106" s="1" t="s">
        <v>457</v>
      </c>
      <c r="D106" s="1" t="s">
        <v>456</v>
      </c>
      <c r="E106" s="1" t="s">
        <v>462</v>
      </c>
    </row>
    <row r="107" spans="1:5" x14ac:dyDescent="0.3">
      <c r="A107" s="1">
        <v>1</v>
      </c>
      <c r="B107" s="1">
        <v>288</v>
      </c>
      <c r="C107" s="1" t="s">
        <v>464</v>
      </c>
      <c r="D107" s="1" t="s">
        <v>462</v>
      </c>
      <c r="E107" s="1" t="s">
        <v>467</v>
      </c>
    </row>
    <row r="108" spans="1:5" x14ac:dyDescent="0.3">
      <c r="A108" s="1">
        <v>1</v>
      </c>
      <c r="B108" s="1">
        <v>288</v>
      </c>
      <c r="C108" s="1" t="s">
        <v>4</v>
      </c>
      <c r="D108" s="1" t="s">
        <v>467</v>
      </c>
      <c r="E108" s="1" t="s">
        <v>469</v>
      </c>
    </row>
    <row r="109" spans="1:5" x14ac:dyDescent="0.3">
      <c r="A109" s="1">
        <v>1</v>
      </c>
      <c r="B109" s="1">
        <v>288</v>
      </c>
      <c r="C109" s="1" t="s">
        <v>342</v>
      </c>
      <c r="D109" s="1" t="s">
        <v>469</v>
      </c>
      <c r="E109" s="1" t="s">
        <v>470</v>
      </c>
    </row>
    <row r="110" spans="1:5" x14ac:dyDescent="0.3">
      <c r="A110" s="1">
        <v>1</v>
      </c>
      <c r="B110" s="1">
        <v>288</v>
      </c>
      <c r="C110" s="1" t="s">
        <v>471</v>
      </c>
      <c r="D110" s="1" t="s">
        <v>470</v>
      </c>
      <c r="E110" s="1" t="s">
        <v>472</v>
      </c>
    </row>
    <row r="111" spans="1:5" x14ac:dyDescent="0.3">
      <c r="A111" s="1">
        <v>1</v>
      </c>
      <c r="B111" s="1">
        <v>288</v>
      </c>
      <c r="C111" s="1" t="s">
        <v>474</v>
      </c>
      <c r="D111" s="1" t="s">
        <v>472</v>
      </c>
      <c r="E111" s="1" t="s">
        <v>475</v>
      </c>
    </row>
    <row r="112" spans="1:5" x14ac:dyDescent="0.3">
      <c r="A112" s="1">
        <v>1</v>
      </c>
      <c r="B112" s="1">
        <v>288</v>
      </c>
      <c r="C112" s="1" t="s">
        <v>477</v>
      </c>
      <c r="D112" s="1" t="s">
        <v>475</v>
      </c>
      <c r="E112" s="1" t="s">
        <v>478</v>
      </c>
    </row>
    <row r="113" spans="1:5" x14ac:dyDescent="0.3">
      <c r="A113" s="1">
        <v>1</v>
      </c>
      <c r="B113" s="1">
        <v>288</v>
      </c>
      <c r="C113" s="1" t="s">
        <v>27</v>
      </c>
      <c r="D113" s="1" t="s">
        <v>478</v>
      </c>
      <c r="E113" s="1" t="s">
        <v>413</v>
      </c>
    </row>
    <row r="114" spans="1:5" x14ac:dyDescent="0.3">
      <c r="A114" s="1">
        <v>1</v>
      </c>
      <c r="B114" s="1">
        <v>288</v>
      </c>
      <c r="C114" s="1" t="s">
        <v>6</v>
      </c>
      <c r="D114" s="1" t="s">
        <v>413</v>
      </c>
      <c r="E114" s="1" t="s">
        <v>480</v>
      </c>
    </row>
    <row r="115" spans="1:5" x14ac:dyDescent="0.3">
      <c r="A115" s="1">
        <v>1</v>
      </c>
      <c r="B115" s="1">
        <v>288</v>
      </c>
      <c r="C115" s="1" t="s">
        <v>482</v>
      </c>
      <c r="D115" s="1" t="s">
        <v>480</v>
      </c>
      <c r="E115" s="1" t="s">
        <v>419</v>
      </c>
    </row>
    <row r="116" spans="1:5" x14ac:dyDescent="0.3">
      <c r="A116" s="1">
        <v>1</v>
      </c>
      <c r="B116" s="1">
        <v>288</v>
      </c>
      <c r="C116" s="1" t="s">
        <v>200</v>
      </c>
      <c r="D116" s="1" t="s">
        <v>419</v>
      </c>
      <c r="E116" s="1" t="s">
        <v>484</v>
      </c>
    </row>
    <row r="117" spans="1:5" x14ac:dyDescent="0.3">
      <c r="A117" s="1">
        <v>1</v>
      </c>
      <c r="B117" s="1">
        <v>288</v>
      </c>
      <c r="C117" s="1" t="s">
        <v>201</v>
      </c>
      <c r="D117" s="1" t="s">
        <v>484</v>
      </c>
      <c r="E117" s="1" t="s">
        <v>485</v>
      </c>
    </row>
    <row r="118" spans="1:5" x14ac:dyDescent="0.3">
      <c r="A118" s="1">
        <v>1</v>
      </c>
      <c r="B118" s="1">
        <v>288</v>
      </c>
      <c r="C118" s="1" t="s">
        <v>486</v>
      </c>
      <c r="D118" s="1" t="s">
        <v>485</v>
      </c>
      <c r="E118" s="2" t="s">
        <v>0</v>
      </c>
    </row>
    <row r="119" spans="1:5" x14ac:dyDescent="0.3">
      <c r="A119" s="1">
        <v>1</v>
      </c>
      <c r="B119" s="1">
        <v>288</v>
      </c>
      <c r="C119" s="1" t="s">
        <v>426</v>
      </c>
      <c r="D119" s="2" t="s">
        <v>0</v>
      </c>
      <c r="E119" s="1" t="s">
        <v>487</v>
      </c>
    </row>
    <row r="120" spans="1:5" x14ac:dyDescent="0.3">
      <c r="A120" s="1">
        <v>1</v>
      </c>
      <c r="B120" s="1">
        <v>288</v>
      </c>
      <c r="C120" s="1" t="s">
        <v>206</v>
      </c>
      <c r="D120" s="1" t="s">
        <v>487</v>
      </c>
      <c r="E120" s="1" t="s">
        <v>488</v>
      </c>
    </row>
    <row r="121" spans="1:5" x14ac:dyDescent="0.3">
      <c r="A121" s="1">
        <v>1</v>
      </c>
      <c r="B121" s="1">
        <v>288</v>
      </c>
      <c r="C121" s="1" t="s">
        <v>8</v>
      </c>
      <c r="D121" s="1" t="s">
        <v>488</v>
      </c>
      <c r="E121" s="2" t="s">
        <v>0</v>
      </c>
    </row>
    <row r="122" spans="1:5" x14ac:dyDescent="0.3">
      <c r="A122" s="1">
        <v>1</v>
      </c>
      <c r="B122" s="1">
        <v>288</v>
      </c>
      <c r="C122" s="1" t="s">
        <v>491</v>
      </c>
      <c r="D122" s="2" t="s">
        <v>0</v>
      </c>
      <c r="E122" s="1" t="s">
        <v>489</v>
      </c>
    </row>
    <row r="123" spans="1:5" x14ac:dyDescent="0.3">
      <c r="A123" s="1">
        <v>1</v>
      </c>
      <c r="B123" s="1">
        <v>288</v>
      </c>
      <c r="C123" s="1" t="s">
        <v>490</v>
      </c>
      <c r="D123" s="1" t="s">
        <v>489</v>
      </c>
      <c r="E123" s="1" t="s">
        <v>492</v>
      </c>
    </row>
    <row r="124" spans="1:5" x14ac:dyDescent="0.3">
      <c r="A124" s="1">
        <v>1</v>
      </c>
      <c r="B124" s="1">
        <v>288</v>
      </c>
      <c r="C124" s="1" t="s">
        <v>493</v>
      </c>
      <c r="D124" s="1" t="s">
        <v>492</v>
      </c>
      <c r="E124" s="1" t="s">
        <v>495</v>
      </c>
    </row>
    <row r="125" spans="1:5" x14ac:dyDescent="0.3">
      <c r="A125" s="1">
        <v>1</v>
      </c>
      <c r="B125" s="1">
        <v>288</v>
      </c>
      <c r="C125" s="1" t="s">
        <v>41</v>
      </c>
      <c r="D125" s="1" t="s">
        <v>495</v>
      </c>
      <c r="E125" s="1" t="s">
        <v>484</v>
      </c>
    </row>
    <row r="126" spans="1:5" x14ac:dyDescent="0.3">
      <c r="A126" s="1">
        <v>1</v>
      </c>
      <c r="B126" s="1">
        <v>288</v>
      </c>
      <c r="C126" s="1" t="s">
        <v>497</v>
      </c>
      <c r="D126" s="1" t="s">
        <v>484</v>
      </c>
      <c r="E126" s="1" t="s">
        <v>498</v>
      </c>
    </row>
    <row r="127" spans="1:5" x14ac:dyDescent="0.3">
      <c r="A127" s="1">
        <v>1</v>
      </c>
      <c r="B127" s="1">
        <v>288</v>
      </c>
      <c r="C127" s="1" t="s">
        <v>442</v>
      </c>
      <c r="D127" s="1" t="s">
        <v>498</v>
      </c>
      <c r="E127" s="1" t="s">
        <v>499</v>
      </c>
    </row>
    <row r="128" spans="1:5" x14ac:dyDescent="0.3">
      <c r="A128" s="1">
        <v>1</v>
      </c>
      <c r="B128" s="1">
        <v>288</v>
      </c>
      <c r="C128" s="1" t="s">
        <v>1</v>
      </c>
      <c r="D128" s="1" t="s">
        <v>499</v>
      </c>
      <c r="E128" s="1" t="s">
        <v>501</v>
      </c>
    </row>
    <row r="129" spans="1:5" x14ac:dyDescent="0.3">
      <c r="A129" s="1">
        <v>1</v>
      </c>
      <c r="B129" s="1">
        <v>288</v>
      </c>
      <c r="C129" s="1" t="s">
        <v>447</v>
      </c>
      <c r="D129" s="1" t="s">
        <v>501</v>
      </c>
      <c r="E129" s="1" t="s">
        <v>448</v>
      </c>
    </row>
    <row r="130" spans="1:5" x14ac:dyDescent="0.3">
      <c r="A130" s="1">
        <v>1</v>
      </c>
      <c r="B130" s="1">
        <v>288</v>
      </c>
      <c r="C130" s="1" t="s">
        <v>449</v>
      </c>
      <c r="D130" s="1" t="s">
        <v>448</v>
      </c>
      <c r="E130" s="1" t="s">
        <v>505</v>
      </c>
    </row>
    <row r="131" spans="1:5" x14ac:dyDescent="0.3">
      <c r="A131" s="1">
        <v>1</v>
      </c>
      <c r="B131" s="1">
        <v>288</v>
      </c>
      <c r="C131" s="1" t="s">
        <v>45</v>
      </c>
      <c r="D131" s="1" t="s">
        <v>505</v>
      </c>
      <c r="E131" s="1" t="s">
        <v>507</v>
      </c>
    </row>
    <row r="132" spans="1:5" x14ac:dyDescent="0.3">
      <c r="A132" s="1">
        <v>1</v>
      </c>
      <c r="B132" s="1">
        <v>288</v>
      </c>
      <c r="C132" s="1" t="s">
        <v>382</v>
      </c>
      <c r="D132" s="1" t="s">
        <v>507</v>
      </c>
      <c r="E132" s="1" t="s">
        <v>501</v>
      </c>
    </row>
    <row r="133" spans="1:5" x14ac:dyDescent="0.3">
      <c r="A133" s="1">
        <v>1</v>
      </c>
      <c r="B133" s="1">
        <v>288</v>
      </c>
      <c r="C133" s="1" t="s">
        <v>503</v>
      </c>
      <c r="D133" s="1" t="s">
        <v>501</v>
      </c>
      <c r="E133" s="2" t="s">
        <v>0</v>
      </c>
    </row>
    <row r="134" spans="1:5" x14ac:dyDescent="0.3">
      <c r="A134" s="1">
        <v>2</v>
      </c>
      <c r="B134" s="1">
        <v>288</v>
      </c>
      <c r="C134" s="1" t="s">
        <v>392</v>
      </c>
      <c r="D134" s="2" t="s">
        <v>0</v>
      </c>
      <c r="E134" s="1" t="s">
        <v>389</v>
      </c>
    </row>
    <row r="135" spans="1:5" x14ac:dyDescent="0.3">
      <c r="A135" s="1">
        <v>2</v>
      </c>
      <c r="B135" s="1">
        <v>288</v>
      </c>
      <c r="C135" s="1" t="s">
        <v>390</v>
      </c>
      <c r="D135" s="1" t="s">
        <v>389</v>
      </c>
      <c r="E135" s="1" t="s">
        <v>394</v>
      </c>
    </row>
    <row r="136" spans="1:5" x14ac:dyDescent="0.3">
      <c r="A136" s="1">
        <v>2</v>
      </c>
      <c r="B136" s="1">
        <v>288</v>
      </c>
      <c r="C136" s="1" t="s">
        <v>395</v>
      </c>
      <c r="D136" s="1" t="s">
        <v>394</v>
      </c>
      <c r="E136" s="1" t="s">
        <v>398</v>
      </c>
    </row>
    <row r="137" spans="1:5" x14ac:dyDescent="0.3">
      <c r="A137" s="1">
        <v>2</v>
      </c>
      <c r="B137" s="1">
        <v>288</v>
      </c>
      <c r="C137" s="1" t="s">
        <v>4</v>
      </c>
      <c r="D137" s="1" t="s">
        <v>398</v>
      </c>
      <c r="E137" s="1" t="s">
        <v>399</v>
      </c>
    </row>
    <row r="138" spans="1:5" x14ac:dyDescent="0.3">
      <c r="A138" s="1">
        <v>2</v>
      </c>
      <c r="B138" s="1">
        <v>288</v>
      </c>
      <c r="C138" s="1" t="s">
        <v>342</v>
      </c>
      <c r="D138" s="1" t="s">
        <v>399</v>
      </c>
      <c r="E138" s="1" t="s">
        <v>401</v>
      </c>
    </row>
    <row r="139" spans="1:5" x14ac:dyDescent="0.3">
      <c r="A139" s="1">
        <v>2</v>
      </c>
      <c r="B139" s="1">
        <v>288</v>
      </c>
      <c r="C139" s="1" t="s">
        <v>402</v>
      </c>
      <c r="D139" s="1" t="s">
        <v>401</v>
      </c>
      <c r="E139" s="1" t="s">
        <v>403</v>
      </c>
    </row>
    <row r="140" spans="1:5" x14ac:dyDescent="0.3">
      <c r="A140" s="1">
        <v>2</v>
      </c>
      <c r="B140" s="1">
        <v>288</v>
      </c>
      <c r="C140" s="1" t="s">
        <v>405</v>
      </c>
      <c r="D140" s="1" t="s">
        <v>403</v>
      </c>
      <c r="E140" s="1" t="s">
        <v>407</v>
      </c>
    </row>
    <row r="141" spans="1:5" x14ac:dyDescent="0.3">
      <c r="A141" s="1">
        <v>2</v>
      </c>
      <c r="B141" s="1">
        <v>288</v>
      </c>
      <c r="C141" s="1" t="s">
        <v>409</v>
      </c>
      <c r="D141" s="1" t="s">
        <v>407</v>
      </c>
      <c r="E141" s="1" t="s">
        <v>410</v>
      </c>
    </row>
    <row r="142" spans="1:5" x14ac:dyDescent="0.3">
      <c r="A142" s="1">
        <v>2</v>
      </c>
      <c r="B142" s="1">
        <v>288</v>
      </c>
      <c r="C142" s="1" t="s">
        <v>412</v>
      </c>
      <c r="D142" s="1" t="s">
        <v>410</v>
      </c>
      <c r="E142" s="1" t="s">
        <v>413</v>
      </c>
    </row>
    <row r="143" spans="1:5" x14ac:dyDescent="0.3">
      <c r="A143" s="1">
        <v>2</v>
      </c>
      <c r="B143" s="1">
        <v>288</v>
      </c>
      <c r="C143" s="1" t="s">
        <v>6</v>
      </c>
      <c r="D143" s="1" t="s">
        <v>413</v>
      </c>
      <c r="E143" s="1" t="s">
        <v>415</v>
      </c>
    </row>
    <row r="144" spans="1:5" x14ac:dyDescent="0.3">
      <c r="A144" s="1">
        <v>2</v>
      </c>
      <c r="B144" s="1">
        <v>288</v>
      </c>
      <c r="C144" s="1" t="s">
        <v>417</v>
      </c>
      <c r="D144" s="1" t="s">
        <v>415</v>
      </c>
      <c r="E144" s="1" t="s">
        <v>419</v>
      </c>
    </row>
    <row r="145" spans="1:5" x14ac:dyDescent="0.3">
      <c r="A145" s="1">
        <v>2</v>
      </c>
      <c r="B145" s="1">
        <v>288</v>
      </c>
      <c r="C145" s="1" t="s">
        <v>200</v>
      </c>
      <c r="D145" s="1" t="s">
        <v>419</v>
      </c>
      <c r="E145" s="1" t="s">
        <v>421</v>
      </c>
    </row>
    <row r="146" spans="1:5" x14ac:dyDescent="0.3">
      <c r="A146" s="1">
        <v>2</v>
      </c>
      <c r="B146" s="1">
        <v>288</v>
      </c>
      <c r="C146" s="1" t="s">
        <v>201</v>
      </c>
      <c r="D146" s="1" t="s">
        <v>421</v>
      </c>
      <c r="E146" s="2" t="s">
        <v>422</v>
      </c>
    </row>
    <row r="147" spans="1:5" x14ac:dyDescent="0.3">
      <c r="A147" s="1">
        <v>2</v>
      </c>
      <c r="B147" s="1">
        <v>288</v>
      </c>
      <c r="C147" s="1" t="s">
        <v>32</v>
      </c>
      <c r="D147" s="1" t="s">
        <v>422</v>
      </c>
      <c r="E147" s="2" t="s">
        <v>0</v>
      </c>
    </row>
    <row r="148" spans="1:5" x14ac:dyDescent="0.3">
      <c r="A148" s="1">
        <v>2</v>
      </c>
      <c r="B148" s="1">
        <v>288</v>
      </c>
      <c r="C148" s="1" t="s">
        <v>426</v>
      </c>
      <c r="D148" s="2" t="s">
        <v>0</v>
      </c>
      <c r="E148" s="1" t="s">
        <v>424</v>
      </c>
    </row>
    <row r="149" spans="1:5" x14ac:dyDescent="0.3">
      <c r="A149" s="1">
        <v>2</v>
      </c>
      <c r="B149" s="1">
        <v>288</v>
      </c>
      <c r="C149" s="1" t="s">
        <v>206</v>
      </c>
      <c r="D149" s="1" t="s">
        <v>424</v>
      </c>
      <c r="E149" s="1" t="s">
        <v>427</v>
      </c>
    </row>
    <row r="150" spans="1:5" x14ac:dyDescent="0.3">
      <c r="A150" s="1">
        <v>2</v>
      </c>
      <c r="B150" s="1">
        <v>288</v>
      </c>
      <c r="C150" s="1" t="s">
        <v>223</v>
      </c>
      <c r="D150" s="1" t="s">
        <v>427</v>
      </c>
      <c r="E150" s="1" t="s">
        <v>399</v>
      </c>
    </row>
    <row r="151" spans="1:5" x14ac:dyDescent="0.3">
      <c r="A151" s="1">
        <v>2</v>
      </c>
      <c r="B151" s="1">
        <v>288</v>
      </c>
      <c r="C151" s="1" t="s">
        <v>8</v>
      </c>
      <c r="D151" s="1" t="s">
        <v>399</v>
      </c>
      <c r="E151" s="2" t="s">
        <v>0</v>
      </c>
    </row>
    <row r="152" spans="1:5" x14ac:dyDescent="0.3">
      <c r="A152" s="1">
        <v>2</v>
      </c>
      <c r="B152" s="1">
        <v>288</v>
      </c>
      <c r="C152" s="1" t="s">
        <v>431</v>
      </c>
      <c r="D152" s="2" t="s">
        <v>0</v>
      </c>
      <c r="E152" s="1" t="s">
        <v>429</v>
      </c>
    </row>
    <row r="153" spans="1:5" x14ac:dyDescent="0.3">
      <c r="A153" s="1">
        <v>2</v>
      </c>
      <c r="B153" s="1">
        <v>288</v>
      </c>
      <c r="C153" s="1" t="s">
        <v>430</v>
      </c>
      <c r="D153" s="1" t="s">
        <v>429</v>
      </c>
      <c r="E153" s="1" t="s">
        <v>432</v>
      </c>
    </row>
    <row r="154" spans="1:5" x14ac:dyDescent="0.3">
      <c r="A154" s="1">
        <v>2</v>
      </c>
      <c r="B154" s="1">
        <v>288</v>
      </c>
      <c r="C154" s="1" t="s">
        <v>433</v>
      </c>
      <c r="D154" s="1" t="s">
        <v>432</v>
      </c>
      <c r="E154" s="1" t="s">
        <v>435</v>
      </c>
    </row>
    <row r="155" spans="1:5" x14ac:dyDescent="0.3">
      <c r="A155" s="1">
        <v>2</v>
      </c>
      <c r="B155" s="1">
        <v>288</v>
      </c>
      <c r="C155" s="1" t="s">
        <v>41</v>
      </c>
      <c r="D155" s="1" t="s">
        <v>435</v>
      </c>
      <c r="E155" s="1" t="s">
        <v>421</v>
      </c>
    </row>
    <row r="156" spans="1:5" x14ac:dyDescent="0.3">
      <c r="A156" s="1">
        <v>2</v>
      </c>
      <c r="B156" s="1">
        <v>288</v>
      </c>
      <c r="C156" s="1" t="s">
        <v>440</v>
      </c>
      <c r="D156" s="1" t="s">
        <v>421</v>
      </c>
      <c r="E156" s="1" t="s">
        <v>441</v>
      </c>
    </row>
    <row r="157" spans="1:5" x14ac:dyDescent="0.3">
      <c r="A157" s="1">
        <v>2</v>
      </c>
      <c r="B157" s="1">
        <v>288</v>
      </c>
      <c r="C157" s="1" t="s">
        <v>442</v>
      </c>
      <c r="D157" s="1" t="s">
        <v>441</v>
      </c>
      <c r="E157" s="1" t="s">
        <v>443</v>
      </c>
    </row>
    <row r="158" spans="1:5" x14ac:dyDescent="0.3">
      <c r="A158" s="1">
        <v>2</v>
      </c>
      <c r="B158" s="1">
        <v>288</v>
      </c>
      <c r="C158" s="1" t="s">
        <v>1</v>
      </c>
      <c r="D158" s="1" t="s">
        <v>443</v>
      </c>
      <c r="E158" s="1" t="s">
        <v>446</v>
      </c>
    </row>
    <row r="159" spans="1:5" x14ac:dyDescent="0.3">
      <c r="A159" s="1">
        <v>2</v>
      </c>
      <c r="B159" s="1">
        <v>288</v>
      </c>
      <c r="C159" s="1" t="s">
        <v>447</v>
      </c>
      <c r="D159" s="1" t="s">
        <v>446</v>
      </c>
      <c r="E159" s="1" t="s">
        <v>448</v>
      </c>
    </row>
    <row r="160" spans="1:5" x14ac:dyDescent="0.3">
      <c r="A160" s="1">
        <v>2</v>
      </c>
      <c r="B160" s="1">
        <v>288</v>
      </c>
      <c r="C160" s="1" t="s">
        <v>449</v>
      </c>
      <c r="D160" s="1" t="s">
        <v>448</v>
      </c>
      <c r="E160" s="1" t="s">
        <v>451</v>
      </c>
    </row>
    <row r="161" spans="1:5" x14ac:dyDescent="0.3">
      <c r="A161" s="1">
        <v>2</v>
      </c>
      <c r="B161" s="1">
        <v>288</v>
      </c>
      <c r="C161" s="1" t="s">
        <v>45</v>
      </c>
      <c r="D161" s="1" t="s">
        <v>451</v>
      </c>
      <c r="E161" s="1" t="s">
        <v>452</v>
      </c>
    </row>
    <row r="162" spans="1:5" x14ac:dyDescent="0.3">
      <c r="A162" s="1">
        <v>2</v>
      </c>
      <c r="B162" s="1">
        <v>288</v>
      </c>
      <c r="C162" s="1" t="s">
        <v>382</v>
      </c>
      <c r="D162" s="1" t="s">
        <v>452</v>
      </c>
      <c r="E162" s="1" t="s">
        <v>446</v>
      </c>
    </row>
    <row r="163" spans="1:5" x14ac:dyDescent="0.3">
      <c r="A163" s="1">
        <v>2</v>
      </c>
      <c r="B163" s="1">
        <v>288</v>
      </c>
      <c r="C163" s="1" t="s">
        <v>384</v>
      </c>
      <c r="D163" s="1" t="s">
        <v>446</v>
      </c>
      <c r="E163" s="2" t="s">
        <v>0</v>
      </c>
    </row>
  </sheetData>
  <conditionalFormatting sqref="E24">
    <cfRule type="cellIs" dxfId="105" priority="1" operator="equal">
      <formula>"'--"</formula>
    </cfRule>
  </conditionalFormatting>
  <conditionalFormatting sqref="F8">
    <cfRule type="cellIs" dxfId="104" priority="3" operator="equal">
      <formula>",--"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4D5B-1711-4F9F-A303-B19E6A632F4C}">
  <dimension ref="A1:E118"/>
  <sheetViews>
    <sheetView workbookViewId="0">
      <selection activeCell="C10" sqref="A1:XFD1048576"/>
    </sheetView>
  </sheetViews>
  <sheetFormatPr defaultRowHeight="14.4" x14ac:dyDescent="0.3"/>
  <cols>
    <col min="1" max="1" width="25.21875" style="1" bestFit="1" customWidth="1"/>
    <col min="2" max="2" width="16.21875" style="1" bestFit="1" customWidth="1"/>
    <col min="3" max="3" width="14.5546875" style="1" bestFit="1" customWidth="1"/>
    <col min="4" max="4" width="18" style="1" bestFit="1" customWidth="1"/>
    <col min="5" max="5" width="10.109375" style="1" bestFit="1" customWidth="1"/>
    <col min="6" max="6" width="6.5546875" style="1" bestFit="1" customWidth="1"/>
    <col min="7" max="7" width="5.5546875" style="1" bestFit="1" customWidth="1"/>
    <col min="8" max="8" width="16.109375" style="1" bestFit="1" customWidth="1"/>
    <col min="9" max="9" width="12.88671875" style="1" bestFit="1" customWidth="1"/>
    <col min="10" max="11" width="11" style="1" bestFit="1" customWidth="1"/>
    <col min="12" max="12" width="16.109375" style="1" bestFit="1" customWidth="1"/>
    <col min="13" max="13" width="8.88671875" style="1"/>
    <col min="14" max="14" width="16.109375" style="1" bestFit="1" customWidth="1"/>
    <col min="15" max="15" width="12.88671875" style="1" bestFit="1" customWidth="1"/>
    <col min="16" max="17" width="11" style="1" bestFit="1" customWidth="1"/>
    <col min="18" max="16384" width="8.88671875" style="1"/>
  </cols>
  <sheetData>
    <row r="1" spans="1:5" x14ac:dyDescent="0.3">
      <c r="A1" s="1" t="s">
        <v>793</v>
      </c>
      <c r="B1" s="1" t="s">
        <v>510</v>
      </c>
      <c r="C1" s="1" t="s">
        <v>796</v>
      </c>
      <c r="D1" s="1" t="s">
        <v>511</v>
      </c>
      <c r="E1" s="1" t="s">
        <v>800</v>
      </c>
    </row>
    <row r="2" spans="1:5" x14ac:dyDescent="0.3">
      <c r="A2" s="1" t="s">
        <v>794</v>
      </c>
      <c r="B2" s="1" t="s">
        <v>709</v>
      </c>
      <c r="C2" s="1" t="s">
        <v>797</v>
      </c>
      <c r="D2" s="1">
        <v>1010</v>
      </c>
      <c r="E2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3" spans="1:5" x14ac:dyDescent="0.3">
      <c r="A3" s="1" t="s">
        <v>794</v>
      </c>
      <c r="B3" s="1" t="s">
        <v>710</v>
      </c>
      <c r="C3" s="1" t="s">
        <v>797</v>
      </c>
      <c r="D3" s="1">
        <v>1010</v>
      </c>
      <c r="E3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4" spans="1:5" x14ac:dyDescent="0.3">
      <c r="A4" s="1" t="s">
        <v>794</v>
      </c>
      <c r="B4" s="1" t="s">
        <v>711</v>
      </c>
      <c r="C4" s="1" t="s">
        <v>797</v>
      </c>
      <c r="D4" s="1">
        <v>1010</v>
      </c>
      <c r="E4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5" spans="1:5" x14ac:dyDescent="0.3">
      <c r="A5" s="1" t="s">
        <v>794</v>
      </c>
      <c r="B5" s="1" t="s">
        <v>712</v>
      </c>
      <c r="C5" s="1" t="s">
        <v>797</v>
      </c>
      <c r="D5" s="1">
        <v>1030</v>
      </c>
      <c r="E5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6" spans="1:5" x14ac:dyDescent="0.3">
      <c r="A6" s="1" t="s">
        <v>794</v>
      </c>
      <c r="B6" s="1" t="s">
        <v>713</v>
      </c>
      <c r="C6" s="1" t="s">
        <v>797</v>
      </c>
      <c r="D6" s="1">
        <v>1010</v>
      </c>
      <c r="E6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7" spans="1:5" x14ac:dyDescent="0.3">
      <c r="A7" s="1" t="s">
        <v>794</v>
      </c>
      <c r="B7" s="1" t="s">
        <v>714</v>
      </c>
      <c r="C7" s="1" t="s">
        <v>797</v>
      </c>
      <c r="D7" s="1">
        <v>1021</v>
      </c>
      <c r="E7" s="1">
        <f>e_makara[[#This Row],[UZUNLUK (mt)]] - (
    SUMIF(e_1[Makara Numarası], e_makara[[#This Row],[MAKARA NO]], e_1[Serim(m)]) +
    SUMIF(e_2[Makara Numarası], e_makara[[#This Row],[MAKARA NO]], e_2[Serim(m)])
)</f>
        <v>1021</v>
      </c>
    </row>
    <row r="8" spans="1:5" x14ac:dyDescent="0.3">
      <c r="A8" s="1" t="s">
        <v>794</v>
      </c>
      <c r="B8" s="1" t="s">
        <v>715</v>
      </c>
      <c r="C8" s="1" t="s">
        <v>797</v>
      </c>
      <c r="D8" s="1">
        <v>1010</v>
      </c>
      <c r="E8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9" spans="1:5" x14ac:dyDescent="0.3">
      <c r="A9" s="1" t="s">
        <v>794</v>
      </c>
      <c r="B9" s="1" t="s">
        <v>716</v>
      </c>
      <c r="C9" s="1" t="s">
        <v>797</v>
      </c>
      <c r="D9" s="1">
        <v>1010</v>
      </c>
      <c r="E9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10" spans="1:5" x14ac:dyDescent="0.3">
      <c r="A10" s="1" t="s">
        <v>794</v>
      </c>
      <c r="B10" s="1" t="s">
        <v>717</v>
      </c>
      <c r="C10" s="1" t="s">
        <v>797</v>
      </c>
      <c r="D10" s="1">
        <v>1015</v>
      </c>
      <c r="E10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11" spans="1:5" x14ac:dyDescent="0.3">
      <c r="A11" s="1" t="s">
        <v>794</v>
      </c>
      <c r="B11" s="1" t="s">
        <v>718</v>
      </c>
      <c r="C11" s="1" t="s">
        <v>797</v>
      </c>
      <c r="D11" s="1">
        <v>1010</v>
      </c>
      <c r="E11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12" spans="1:5" x14ac:dyDescent="0.3">
      <c r="A12" s="1" t="s">
        <v>794</v>
      </c>
      <c r="B12" s="1" t="s">
        <v>719</v>
      </c>
      <c r="C12" s="1" t="s">
        <v>797</v>
      </c>
      <c r="D12" s="1">
        <v>1015</v>
      </c>
      <c r="E12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13" spans="1:5" x14ac:dyDescent="0.3">
      <c r="A13" s="1" t="s">
        <v>794</v>
      </c>
      <c r="B13" s="1" t="s">
        <v>720</v>
      </c>
      <c r="C13" s="1" t="s">
        <v>797</v>
      </c>
      <c r="D13" s="1">
        <v>1015</v>
      </c>
      <c r="E13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14" spans="1:5" x14ac:dyDescent="0.3">
      <c r="A14" s="1" t="s">
        <v>794</v>
      </c>
      <c r="B14" s="1" t="s">
        <v>721</v>
      </c>
      <c r="C14" s="1" t="s">
        <v>797</v>
      </c>
      <c r="D14" s="1">
        <v>1034</v>
      </c>
      <c r="E14" s="1">
        <f>e_makara[[#This Row],[UZUNLUK (mt)]] - (
    SUMIF(e_1[Makara Numarası], e_makara[[#This Row],[MAKARA NO]], e_1[Serim(m)]) +
    SUMIF(e_2[Makara Numarası], e_makara[[#This Row],[MAKARA NO]], e_2[Serim(m)])
)</f>
        <v>1034</v>
      </c>
    </row>
    <row r="15" spans="1:5" x14ac:dyDescent="0.3">
      <c r="A15" s="1" t="s">
        <v>794</v>
      </c>
      <c r="B15" s="1" t="s">
        <v>722</v>
      </c>
      <c r="C15" s="1" t="s">
        <v>797</v>
      </c>
      <c r="D15" s="1">
        <v>1010</v>
      </c>
      <c r="E15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16" spans="1:5" x14ac:dyDescent="0.3">
      <c r="A16" s="1" t="s">
        <v>794</v>
      </c>
      <c r="B16" s="1" t="s">
        <v>723</v>
      </c>
      <c r="C16" s="1" t="s">
        <v>797</v>
      </c>
      <c r="D16" s="1">
        <v>1030</v>
      </c>
      <c r="E16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17" spans="1:5" x14ac:dyDescent="0.3">
      <c r="A17" s="1" t="s">
        <v>795</v>
      </c>
      <c r="B17" s="1" t="s">
        <v>724</v>
      </c>
      <c r="C17" s="1" t="s">
        <v>798</v>
      </c>
      <c r="D17" s="1">
        <v>1005</v>
      </c>
      <c r="E17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18" spans="1:5" x14ac:dyDescent="0.3">
      <c r="A18" s="1" t="s">
        <v>795</v>
      </c>
      <c r="B18" s="1" t="s">
        <v>725</v>
      </c>
      <c r="C18" s="1" t="s">
        <v>798</v>
      </c>
      <c r="D18" s="1">
        <v>1004</v>
      </c>
      <c r="E18" s="1">
        <f>e_makara[[#This Row],[UZUNLUK (mt)]] - (
    SUMIF(e_1[Makara Numarası], e_makara[[#This Row],[MAKARA NO]], e_1[Serim(m)]) +
    SUMIF(e_2[Makara Numarası], e_makara[[#This Row],[MAKARA NO]], e_2[Serim(m)])
)</f>
        <v>1004</v>
      </c>
    </row>
    <row r="19" spans="1:5" x14ac:dyDescent="0.3">
      <c r="A19" s="1" t="s">
        <v>795</v>
      </c>
      <c r="B19" s="1" t="s">
        <v>726</v>
      </c>
      <c r="C19" s="1" t="s">
        <v>798</v>
      </c>
      <c r="D19" s="1">
        <v>1008</v>
      </c>
      <c r="E19" s="1">
        <f>e_makara[[#This Row],[UZUNLUK (mt)]] - (
    SUMIF(e_1[Makara Numarası], e_makara[[#This Row],[MAKARA NO]], e_1[Serim(m)]) +
    SUMIF(e_2[Makara Numarası], e_makara[[#This Row],[MAKARA NO]], e_2[Serim(m)])
)</f>
        <v>1008</v>
      </c>
    </row>
    <row r="20" spans="1:5" x14ac:dyDescent="0.3">
      <c r="A20" s="1" t="s">
        <v>795</v>
      </c>
      <c r="B20" s="1" t="s">
        <v>727</v>
      </c>
      <c r="C20" s="1" t="s">
        <v>798</v>
      </c>
      <c r="D20" s="1">
        <v>1045</v>
      </c>
      <c r="E20" s="1">
        <f>e_makara[[#This Row],[UZUNLUK (mt)]] - (
    SUMIF(e_1[Makara Numarası], e_makara[[#This Row],[MAKARA NO]], e_1[Serim(m)]) +
    SUMIF(e_2[Makara Numarası], e_makara[[#This Row],[MAKARA NO]], e_2[Serim(m)])
)</f>
        <v>1045</v>
      </c>
    </row>
    <row r="21" spans="1:5" x14ac:dyDescent="0.3">
      <c r="A21" s="1" t="s">
        <v>795</v>
      </c>
      <c r="B21" s="1" t="s">
        <v>728</v>
      </c>
      <c r="C21" s="1" t="s">
        <v>798</v>
      </c>
      <c r="D21" s="1">
        <v>1015</v>
      </c>
      <c r="E21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22" spans="1:5" x14ac:dyDescent="0.3">
      <c r="A22" s="1" t="s">
        <v>795</v>
      </c>
      <c r="B22" s="1" t="s">
        <v>729</v>
      </c>
      <c r="C22" s="1" t="s">
        <v>798</v>
      </c>
      <c r="D22" s="1">
        <v>1005</v>
      </c>
      <c r="E22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23" spans="1:5" x14ac:dyDescent="0.3">
      <c r="A23" s="1" t="s">
        <v>795</v>
      </c>
      <c r="B23" s="1" t="s">
        <v>730</v>
      </c>
      <c r="C23" s="1" t="s">
        <v>798</v>
      </c>
      <c r="D23" s="1">
        <v>1092</v>
      </c>
      <c r="E23" s="1">
        <f>e_makara[[#This Row],[UZUNLUK (mt)]] - (
    SUMIF(e_1[Makara Numarası], e_makara[[#This Row],[MAKARA NO]], e_1[Serim(m)]) +
    SUMIF(e_2[Makara Numarası], e_makara[[#This Row],[MAKARA NO]], e_2[Serim(m)])
)</f>
        <v>1092</v>
      </c>
    </row>
    <row r="24" spans="1:5" x14ac:dyDescent="0.3">
      <c r="A24" s="1" t="s">
        <v>795</v>
      </c>
      <c r="B24" s="1" t="s">
        <v>731</v>
      </c>
      <c r="C24" s="1" t="s">
        <v>798</v>
      </c>
      <c r="D24" s="1">
        <v>1003</v>
      </c>
      <c r="E24" s="1">
        <f>e_makara[[#This Row],[UZUNLUK (mt)]] - (
    SUMIF(e_1[Makara Numarası], e_makara[[#This Row],[MAKARA NO]], e_1[Serim(m)]) +
    SUMIF(e_2[Makara Numarası], e_makara[[#This Row],[MAKARA NO]], e_2[Serim(m)])
)</f>
        <v>1003</v>
      </c>
    </row>
    <row r="25" spans="1:5" x14ac:dyDescent="0.3">
      <c r="A25" s="1" t="s">
        <v>795</v>
      </c>
      <c r="B25" s="1" t="s">
        <v>732</v>
      </c>
      <c r="C25" s="1" t="s">
        <v>798</v>
      </c>
      <c r="D25" s="1">
        <v>1005</v>
      </c>
      <c r="E25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26" spans="1:5" x14ac:dyDescent="0.3">
      <c r="A26" s="1" t="s">
        <v>795</v>
      </c>
      <c r="B26" s="1" t="s">
        <v>733</v>
      </c>
      <c r="C26" s="1" t="s">
        <v>798</v>
      </c>
      <c r="D26" s="1">
        <v>1030</v>
      </c>
      <c r="E26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27" spans="1:5" x14ac:dyDescent="0.3">
      <c r="A27" s="1" t="s">
        <v>795</v>
      </c>
      <c r="B27" s="1" t="s">
        <v>604</v>
      </c>
      <c r="C27" s="1" t="s">
        <v>798</v>
      </c>
      <c r="D27" s="1">
        <v>999</v>
      </c>
      <c r="E27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28" spans="1:5" x14ac:dyDescent="0.3">
      <c r="A28" s="1" t="s">
        <v>795</v>
      </c>
      <c r="B28" s="1" t="s">
        <v>734</v>
      </c>
      <c r="C28" s="1" t="s">
        <v>798</v>
      </c>
      <c r="D28" s="1">
        <v>1001</v>
      </c>
      <c r="E28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29" spans="1:5" x14ac:dyDescent="0.3">
      <c r="A29" s="1" t="s">
        <v>795</v>
      </c>
      <c r="B29" s="1" t="s">
        <v>735</v>
      </c>
      <c r="C29" s="1" t="s">
        <v>798</v>
      </c>
      <c r="D29" s="1">
        <v>1003</v>
      </c>
      <c r="E29" s="1">
        <f>e_makara[[#This Row],[UZUNLUK (mt)]] - (
    SUMIF(e_1[Makara Numarası], e_makara[[#This Row],[MAKARA NO]], e_1[Serim(m)]) +
    SUMIF(e_2[Makara Numarası], e_makara[[#This Row],[MAKARA NO]], e_2[Serim(m)])
)</f>
        <v>1003</v>
      </c>
    </row>
    <row r="30" spans="1:5" x14ac:dyDescent="0.3">
      <c r="A30" s="1" t="s">
        <v>795</v>
      </c>
      <c r="B30" s="1" t="s">
        <v>736</v>
      </c>
      <c r="C30" s="1" t="s">
        <v>798</v>
      </c>
      <c r="D30" s="1">
        <v>1019</v>
      </c>
      <c r="E30" s="1">
        <f>e_makara[[#This Row],[UZUNLUK (mt)]] - (
    SUMIF(e_1[Makara Numarası], e_makara[[#This Row],[MAKARA NO]], e_1[Serim(m)]) +
    SUMIF(e_2[Makara Numarası], e_makara[[#This Row],[MAKARA NO]], e_2[Serim(m)])
)</f>
        <v>1019</v>
      </c>
    </row>
    <row r="31" spans="1:5" x14ac:dyDescent="0.3">
      <c r="A31" s="1" t="s">
        <v>795</v>
      </c>
      <c r="B31" s="1" t="s">
        <v>620</v>
      </c>
      <c r="C31" s="1" t="s">
        <v>798</v>
      </c>
      <c r="D31" s="1">
        <v>1009</v>
      </c>
      <c r="E31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32" spans="1:5" x14ac:dyDescent="0.3">
      <c r="A32" s="1" t="s">
        <v>795</v>
      </c>
      <c r="B32" s="1" t="s">
        <v>737</v>
      </c>
      <c r="C32" s="1" t="s">
        <v>798</v>
      </c>
      <c r="D32" s="1">
        <v>990</v>
      </c>
      <c r="E32" s="1">
        <f>e_makara[[#This Row],[UZUNLUK (mt)]] - (
    SUMIF(e_1[Makara Numarası], e_makara[[#This Row],[MAKARA NO]], e_1[Serim(m)]) +
    SUMIF(e_2[Makara Numarası], e_makara[[#This Row],[MAKARA NO]], e_2[Serim(m)])
)</f>
        <v>990</v>
      </c>
    </row>
    <row r="33" spans="1:5" x14ac:dyDescent="0.3">
      <c r="A33" s="1" t="s">
        <v>795</v>
      </c>
      <c r="B33" s="1" t="s">
        <v>738</v>
      </c>
      <c r="C33" s="1" t="s">
        <v>798</v>
      </c>
      <c r="D33" s="1">
        <v>1001</v>
      </c>
      <c r="E33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34" spans="1:5" x14ac:dyDescent="0.3">
      <c r="A34" s="1" t="s">
        <v>795</v>
      </c>
      <c r="B34" s="1" t="s">
        <v>649</v>
      </c>
      <c r="C34" s="1" t="s">
        <v>798</v>
      </c>
      <c r="D34" s="1">
        <v>1011</v>
      </c>
      <c r="E34" s="1">
        <f>e_makara[[#This Row],[UZUNLUK (mt)]] - (
    SUMIF(e_1[Makara Numarası], e_makara[[#This Row],[MAKARA NO]], e_1[Serim(m)]) +
    SUMIF(e_2[Makara Numarası], e_makara[[#This Row],[MAKARA NO]], e_2[Serim(m)])
)</f>
        <v>811</v>
      </c>
    </row>
    <row r="35" spans="1:5" x14ac:dyDescent="0.3">
      <c r="A35" s="1" t="s">
        <v>795</v>
      </c>
      <c r="B35" s="1" t="s">
        <v>618</v>
      </c>
      <c r="C35" s="1" t="s">
        <v>798</v>
      </c>
      <c r="D35" s="1">
        <v>1000</v>
      </c>
      <c r="E35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36" spans="1:5" x14ac:dyDescent="0.3">
      <c r="A36" s="1" t="s">
        <v>795</v>
      </c>
      <c r="B36" s="1" t="s">
        <v>739</v>
      </c>
      <c r="C36" s="1" t="s">
        <v>798</v>
      </c>
      <c r="D36" s="1">
        <v>1012</v>
      </c>
      <c r="E36" s="1">
        <f>e_makara[[#This Row],[UZUNLUK (mt)]] - (
    SUMIF(e_1[Makara Numarası], e_makara[[#This Row],[MAKARA NO]], e_1[Serim(m)]) +
    SUMIF(e_2[Makara Numarası], e_makara[[#This Row],[MAKARA NO]], e_2[Serim(m)])
)</f>
        <v>1012</v>
      </c>
    </row>
    <row r="37" spans="1:5" x14ac:dyDescent="0.3">
      <c r="A37" s="1" t="s">
        <v>795</v>
      </c>
      <c r="B37" s="1" t="s">
        <v>589</v>
      </c>
      <c r="C37" s="1" t="s">
        <v>798</v>
      </c>
      <c r="D37" s="1">
        <v>1011</v>
      </c>
      <c r="E37" s="1">
        <f>e_makara[[#This Row],[UZUNLUK (mt)]] - (
    SUMIF(e_1[Makara Numarası], e_makara[[#This Row],[MAKARA NO]], e_1[Serim(m)]) +
    SUMIF(e_2[Makara Numarası], e_makara[[#This Row],[MAKARA NO]], e_2[Serim(m)])
)</f>
        <v>230</v>
      </c>
    </row>
    <row r="38" spans="1:5" x14ac:dyDescent="0.3">
      <c r="A38" s="1" t="s">
        <v>795</v>
      </c>
      <c r="B38" s="1" t="s">
        <v>740</v>
      </c>
      <c r="C38" s="1" t="s">
        <v>798</v>
      </c>
      <c r="D38" s="1">
        <v>1005</v>
      </c>
      <c r="E38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39" spans="1:5" x14ac:dyDescent="0.3">
      <c r="A39" s="1" t="s">
        <v>795</v>
      </c>
      <c r="B39" s="1" t="s">
        <v>741</v>
      </c>
      <c r="C39" s="1" t="s">
        <v>798</v>
      </c>
      <c r="D39" s="1">
        <v>1005</v>
      </c>
      <c r="E39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40" spans="1:5" x14ac:dyDescent="0.3">
      <c r="A40" s="1" t="s">
        <v>795</v>
      </c>
      <c r="B40" s="1" t="s">
        <v>742</v>
      </c>
      <c r="C40" s="1" t="s">
        <v>798</v>
      </c>
      <c r="D40" s="1">
        <v>1002</v>
      </c>
      <c r="E40" s="1">
        <f>e_makara[[#This Row],[UZUNLUK (mt)]] - (
    SUMIF(e_1[Makara Numarası], e_makara[[#This Row],[MAKARA NO]], e_1[Serim(m)]) +
    SUMIF(e_2[Makara Numarası], e_makara[[#This Row],[MAKARA NO]], e_2[Serim(m)])
)</f>
        <v>1002</v>
      </c>
    </row>
    <row r="41" spans="1:5" x14ac:dyDescent="0.3">
      <c r="A41" s="1" t="s">
        <v>795</v>
      </c>
      <c r="B41" s="1" t="s">
        <v>743</v>
      </c>
      <c r="C41" s="1" t="s">
        <v>798</v>
      </c>
      <c r="D41" s="1">
        <v>1006</v>
      </c>
      <c r="E41" s="1">
        <f>e_makara[[#This Row],[UZUNLUK (mt)]] - (
    SUMIF(e_1[Makara Numarası], e_makara[[#This Row],[MAKARA NO]], e_1[Serim(m)]) +
    SUMIF(e_2[Makara Numarası], e_makara[[#This Row],[MAKARA NO]], e_2[Serim(m)])
)</f>
        <v>1006</v>
      </c>
    </row>
    <row r="42" spans="1:5" x14ac:dyDescent="0.3">
      <c r="A42" s="1" t="s">
        <v>795</v>
      </c>
      <c r="B42" s="1" t="s">
        <v>744</v>
      </c>
      <c r="C42" s="1" t="s">
        <v>798</v>
      </c>
      <c r="D42" s="1">
        <v>1001</v>
      </c>
      <c r="E42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43" spans="1:5" x14ac:dyDescent="0.3">
      <c r="A43" s="1" t="s">
        <v>795</v>
      </c>
      <c r="B43" s="1" t="s">
        <v>745</v>
      </c>
      <c r="C43" s="1" t="s">
        <v>798</v>
      </c>
      <c r="D43" s="1">
        <v>1000</v>
      </c>
      <c r="E43" s="1">
        <f>e_makara[[#This Row],[UZUNLUK (mt)]] - (
    SUMIF(e_1[Makara Numarası], e_makara[[#This Row],[MAKARA NO]], e_1[Serim(m)]) +
    SUMIF(e_2[Makara Numarası], e_makara[[#This Row],[MAKARA NO]], e_2[Serim(m)])
)</f>
        <v>1000</v>
      </c>
    </row>
    <row r="44" spans="1:5" x14ac:dyDescent="0.3">
      <c r="A44" s="1" t="s">
        <v>794</v>
      </c>
      <c r="B44" s="1" t="s">
        <v>746</v>
      </c>
      <c r="C44" s="1" t="s">
        <v>797</v>
      </c>
      <c r="D44" s="1">
        <v>1030</v>
      </c>
      <c r="E44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45" spans="1:5" x14ac:dyDescent="0.3">
      <c r="A45" s="1" t="s">
        <v>794</v>
      </c>
      <c r="B45" s="1" t="s">
        <v>747</v>
      </c>
      <c r="C45" s="1" t="s">
        <v>797</v>
      </c>
      <c r="D45" s="1">
        <v>1010</v>
      </c>
      <c r="E45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46" spans="1:5" x14ac:dyDescent="0.3">
      <c r="A46" s="1" t="s">
        <v>794</v>
      </c>
      <c r="B46" s="1" t="s">
        <v>748</v>
      </c>
      <c r="C46" s="1" t="s">
        <v>797</v>
      </c>
      <c r="D46" s="1">
        <v>1005</v>
      </c>
      <c r="E46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47" spans="1:5" x14ac:dyDescent="0.3">
      <c r="A47" s="1" t="s">
        <v>794</v>
      </c>
      <c r="B47" s="1" t="s">
        <v>749</v>
      </c>
      <c r="C47" s="1" t="s">
        <v>797</v>
      </c>
      <c r="D47" s="1">
        <v>1001</v>
      </c>
      <c r="E47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48" spans="1:5" x14ac:dyDescent="0.3">
      <c r="A48" s="1" t="s">
        <v>794</v>
      </c>
      <c r="B48" s="1" t="s">
        <v>750</v>
      </c>
      <c r="C48" s="1" t="s">
        <v>797</v>
      </c>
      <c r="D48" s="1">
        <v>1010</v>
      </c>
      <c r="E48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49" spans="1:5" x14ac:dyDescent="0.3">
      <c r="A49" s="1" t="s">
        <v>794</v>
      </c>
      <c r="B49" s="1" t="s">
        <v>613</v>
      </c>
      <c r="C49" s="1" t="s">
        <v>797</v>
      </c>
      <c r="D49" s="1">
        <v>1010</v>
      </c>
      <c r="E49" s="1">
        <f>e_makara[[#This Row],[UZUNLUK (mt)]] - (
    SUMIF(e_1[Makara Numarası], e_makara[[#This Row],[MAKARA NO]], e_1[Serim(m)]) +
    SUMIF(e_2[Makara Numarası], e_makara[[#This Row],[MAKARA NO]], e_2[Serim(m)])
)</f>
        <v>-8</v>
      </c>
    </row>
    <row r="50" spans="1:5" x14ac:dyDescent="0.3">
      <c r="A50" s="1" t="s">
        <v>794</v>
      </c>
      <c r="B50" s="1" t="s">
        <v>751</v>
      </c>
      <c r="C50" s="1" t="s">
        <v>797</v>
      </c>
      <c r="D50" s="1">
        <v>1015</v>
      </c>
      <c r="E50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51" spans="1:5" x14ac:dyDescent="0.3">
      <c r="A51" s="1" t="s">
        <v>794</v>
      </c>
      <c r="B51" s="1" t="s">
        <v>752</v>
      </c>
      <c r="C51" s="1" t="s">
        <v>797</v>
      </c>
      <c r="D51" s="1">
        <v>1005</v>
      </c>
      <c r="E51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52" spans="1:5" x14ac:dyDescent="0.3">
      <c r="A52" s="1" t="s">
        <v>794</v>
      </c>
      <c r="B52" s="1" t="s">
        <v>753</v>
      </c>
      <c r="C52" s="1" t="s">
        <v>797</v>
      </c>
      <c r="D52" s="1">
        <v>1012</v>
      </c>
      <c r="E52" s="1">
        <f>e_makara[[#This Row],[UZUNLUK (mt)]] - (
    SUMIF(e_1[Makara Numarası], e_makara[[#This Row],[MAKARA NO]], e_1[Serim(m)]) +
    SUMIF(e_2[Makara Numarası], e_makara[[#This Row],[MAKARA NO]], e_2[Serim(m)])
)</f>
        <v>1012</v>
      </c>
    </row>
    <row r="53" spans="1:5" x14ac:dyDescent="0.3">
      <c r="A53" s="1" t="s">
        <v>794</v>
      </c>
      <c r="B53" s="1" t="s">
        <v>754</v>
      </c>
      <c r="C53" s="1" t="s">
        <v>797</v>
      </c>
      <c r="D53" s="1">
        <v>1001</v>
      </c>
      <c r="E53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54" spans="1:5" x14ac:dyDescent="0.3">
      <c r="A54" s="1" t="s">
        <v>794</v>
      </c>
      <c r="B54" s="1" t="s">
        <v>755</v>
      </c>
      <c r="C54" s="1" t="s">
        <v>797</v>
      </c>
      <c r="D54" s="1">
        <v>1005</v>
      </c>
      <c r="E54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55" spans="1:5" x14ac:dyDescent="0.3">
      <c r="A55" s="1" t="s">
        <v>794</v>
      </c>
      <c r="B55" s="1" t="s">
        <v>756</v>
      </c>
      <c r="C55" s="1" t="s">
        <v>797</v>
      </c>
      <c r="D55" s="1">
        <v>998</v>
      </c>
      <c r="E55" s="1">
        <f>e_makara[[#This Row],[UZUNLUK (mt)]] - (
    SUMIF(e_1[Makara Numarası], e_makara[[#This Row],[MAKARA NO]], e_1[Serim(m)]) +
    SUMIF(e_2[Makara Numarası], e_makara[[#This Row],[MAKARA NO]], e_2[Serim(m)])
)</f>
        <v>998</v>
      </c>
    </row>
    <row r="56" spans="1:5" x14ac:dyDescent="0.3">
      <c r="A56" s="1" t="s">
        <v>794</v>
      </c>
      <c r="B56" s="1" t="s">
        <v>757</v>
      </c>
      <c r="C56" s="1" t="s">
        <v>797</v>
      </c>
      <c r="D56" s="1">
        <v>1005</v>
      </c>
      <c r="E56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57" spans="1:5" x14ac:dyDescent="0.3">
      <c r="A57" s="1" t="s">
        <v>794</v>
      </c>
      <c r="B57" s="1" t="s">
        <v>758</v>
      </c>
      <c r="C57" s="1" t="s">
        <v>797</v>
      </c>
      <c r="D57" s="1">
        <v>1001</v>
      </c>
      <c r="E57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58" spans="1:5" x14ac:dyDescent="0.3">
      <c r="A58" s="1" t="s">
        <v>794</v>
      </c>
      <c r="B58" s="1" t="s">
        <v>615</v>
      </c>
      <c r="C58" s="1" t="s">
        <v>797</v>
      </c>
      <c r="D58" s="1">
        <v>1015</v>
      </c>
      <c r="E58" s="1">
        <f>e_makara[[#This Row],[UZUNLUK (mt)]] - (
    SUMIF(e_1[Makara Numarası], e_makara[[#This Row],[MAKARA NO]], e_1[Serim(m)]) +
    SUMIF(e_2[Makara Numarası], e_makara[[#This Row],[MAKARA NO]], e_2[Serim(m)])
)</f>
        <v>660</v>
      </c>
    </row>
    <row r="59" spans="1:5" x14ac:dyDescent="0.3">
      <c r="A59" s="1" t="s">
        <v>794</v>
      </c>
      <c r="B59" s="1" t="s">
        <v>759</v>
      </c>
      <c r="C59" s="1" t="s">
        <v>797</v>
      </c>
      <c r="D59" s="1">
        <v>1005</v>
      </c>
      <c r="E59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60" spans="1:5" x14ac:dyDescent="0.3">
      <c r="A60" s="1" t="s">
        <v>794</v>
      </c>
      <c r="B60" s="1" t="s">
        <v>760</v>
      </c>
      <c r="C60" s="1" t="s">
        <v>797</v>
      </c>
      <c r="D60" s="1">
        <v>1030</v>
      </c>
      <c r="E60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61" spans="1:5" x14ac:dyDescent="0.3">
      <c r="A61" s="1" t="s">
        <v>794</v>
      </c>
      <c r="B61" s="1" t="s">
        <v>761</v>
      </c>
      <c r="C61" s="1" t="s">
        <v>797</v>
      </c>
      <c r="D61" s="1">
        <v>1133</v>
      </c>
      <c r="E61" s="1">
        <f>e_makara[[#This Row],[UZUNLUK (mt)]] - (
    SUMIF(e_1[Makara Numarası], e_makara[[#This Row],[MAKARA NO]], e_1[Serim(m)]) +
    SUMIF(e_2[Makara Numarası], e_makara[[#This Row],[MAKARA NO]], e_2[Serim(m)])
)</f>
        <v>1133</v>
      </c>
    </row>
    <row r="62" spans="1:5" x14ac:dyDescent="0.3">
      <c r="A62" s="1" t="s">
        <v>794</v>
      </c>
      <c r="B62" s="1" t="s">
        <v>762</v>
      </c>
      <c r="C62" s="1" t="s">
        <v>797</v>
      </c>
      <c r="D62" s="1">
        <v>950</v>
      </c>
      <c r="E62" s="1">
        <f>e_makara[[#This Row],[UZUNLUK (mt)]] - (
    SUMIF(e_1[Makara Numarası], e_makara[[#This Row],[MAKARA NO]], e_1[Serim(m)]) +
    SUMIF(e_2[Makara Numarası], e_makara[[#This Row],[MAKARA NO]], e_2[Serim(m)])
)</f>
        <v>950</v>
      </c>
    </row>
    <row r="63" spans="1:5" x14ac:dyDescent="0.3">
      <c r="A63" s="1" t="s">
        <v>794</v>
      </c>
      <c r="B63" s="1" t="s">
        <v>682</v>
      </c>
      <c r="C63" s="1" t="s">
        <v>797</v>
      </c>
      <c r="D63" s="1">
        <v>1004</v>
      </c>
      <c r="E63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64" spans="1:5" x14ac:dyDescent="0.3">
      <c r="A64" s="1" t="s">
        <v>794</v>
      </c>
      <c r="B64" s="1" t="s">
        <v>763</v>
      </c>
      <c r="C64" s="1" t="s">
        <v>797</v>
      </c>
      <c r="D64" s="1">
        <v>1000</v>
      </c>
      <c r="E64" s="1">
        <f>e_makara[[#This Row],[UZUNLUK (mt)]] - (
    SUMIF(e_1[Makara Numarası], e_makara[[#This Row],[MAKARA NO]], e_1[Serim(m)]) +
    SUMIF(e_2[Makara Numarası], e_makara[[#This Row],[MAKARA NO]], e_2[Serim(m)])
)</f>
        <v>1000</v>
      </c>
    </row>
    <row r="65" spans="1:5" x14ac:dyDescent="0.3">
      <c r="A65" s="1" t="s">
        <v>794</v>
      </c>
      <c r="B65" s="1" t="s">
        <v>764</v>
      </c>
      <c r="C65" s="1" t="s">
        <v>797</v>
      </c>
      <c r="D65" s="1">
        <v>1000</v>
      </c>
      <c r="E65" s="1">
        <f>e_makara[[#This Row],[UZUNLUK (mt)]] - (
    SUMIF(e_1[Makara Numarası], e_makara[[#This Row],[MAKARA NO]], e_1[Serim(m)]) +
    SUMIF(e_2[Makara Numarası], e_makara[[#This Row],[MAKARA NO]], e_2[Serim(m)])
)</f>
        <v>1000</v>
      </c>
    </row>
    <row r="66" spans="1:5" x14ac:dyDescent="0.3">
      <c r="A66" s="1" t="s">
        <v>795</v>
      </c>
      <c r="B66" s="1" t="s">
        <v>765</v>
      </c>
      <c r="C66" s="1" t="s">
        <v>798</v>
      </c>
      <c r="D66" s="1">
        <v>994</v>
      </c>
      <c r="E66" s="1">
        <f>e_makara[[#This Row],[UZUNLUK (mt)]] - (
    SUMIF(e_1[Makara Numarası], e_makara[[#This Row],[MAKARA NO]], e_1[Serim(m)]) +
    SUMIF(e_2[Makara Numarası], e_makara[[#This Row],[MAKARA NO]], e_2[Serim(m)])
)</f>
        <v>994</v>
      </c>
    </row>
    <row r="67" spans="1:5" x14ac:dyDescent="0.3">
      <c r="A67" s="1" t="s">
        <v>795</v>
      </c>
      <c r="B67" s="1" t="s">
        <v>591</v>
      </c>
      <c r="C67" s="1" t="s">
        <v>798</v>
      </c>
      <c r="D67" s="1">
        <v>1006</v>
      </c>
      <c r="E67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68" spans="1:5" x14ac:dyDescent="0.3">
      <c r="A68" s="1" t="s">
        <v>795</v>
      </c>
      <c r="B68" s="1" t="s">
        <v>585</v>
      </c>
      <c r="C68" s="1" t="s">
        <v>798</v>
      </c>
      <c r="D68" s="1">
        <v>1006</v>
      </c>
      <c r="E68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69" spans="1:5" x14ac:dyDescent="0.3">
      <c r="A69" s="1" t="s">
        <v>795</v>
      </c>
      <c r="B69" s="1" t="s">
        <v>582</v>
      </c>
      <c r="C69" s="1" t="s">
        <v>798</v>
      </c>
      <c r="D69" s="1">
        <v>1012</v>
      </c>
      <c r="E69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70" spans="1:5" x14ac:dyDescent="0.3">
      <c r="A70" s="1" t="s">
        <v>794</v>
      </c>
      <c r="B70" s="1" t="s">
        <v>610</v>
      </c>
      <c r="C70" s="1" t="s">
        <v>797</v>
      </c>
      <c r="D70" s="1">
        <v>1015</v>
      </c>
      <c r="E70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71" spans="1:5" x14ac:dyDescent="0.3">
      <c r="A71" s="1" t="s">
        <v>794</v>
      </c>
      <c r="B71" s="1" t="s">
        <v>766</v>
      </c>
      <c r="C71" s="1" t="s">
        <v>797</v>
      </c>
      <c r="D71" s="1">
        <v>1004</v>
      </c>
      <c r="E71" s="1">
        <f>e_makara[[#This Row],[UZUNLUK (mt)]] - (
    SUMIF(e_1[Makara Numarası], e_makara[[#This Row],[MAKARA NO]], e_1[Serim(m)]) +
    SUMIF(e_2[Makara Numarası], e_makara[[#This Row],[MAKARA NO]], e_2[Serim(m)])
)</f>
        <v>1004</v>
      </c>
    </row>
    <row r="72" spans="1:5" x14ac:dyDescent="0.3">
      <c r="A72" s="1" t="s">
        <v>794</v>
      </c>
      <c r="B72" s="1" t="s">
        <v>767</v>
      </c>
      <c r="C72" s="1" t="s">
        <v>797</v>
      </c>
      <c r="D72" s="1">
        <v>1038</v>
      </c>
      <c r="E72" s="1">
        <f>e_makara[[#This Row],[UZUNLUK (mt)]] - (
    SUMIF(e_1[Makara Numarası], e_makara[[#This Row],[MAKARA NO]], e_1[Serim(m)]) +
    SUMIF(e_2[Makara Numarası], e_makara[[#This Row],[MAKARA NO]], e_2[Serim(m)])
)</f>
        <v>1038</v>
      </c>
    </row>
    <row r="73" spans="1:5" x14ac:dyDescent="0.3">
      <c r="A73" s="1" t="s">
        <v>794</v>
      </c>
      <c r="B73" s="1" t="s">
        <v>768</v>
      </c>
      <c r="C73" s="1" t="s">
        <v>797</v>
      </c>
      <c r="D73" s="1">
        <v>999</v>
      </c>
      <c r="E73" s="1">
        <f>e_makara[[#This Row],[UZUNLUK (mt)]] - (
    SUMIF(e_1[Makara Numarası], e_makara[[#This Row],[MAKARA NO]], e_1[Serim(m)]) +
    SUMIF(e_2[Makara Numarası], e_makara[[#This Row],[MAKARA NO]], e_2[Serim(m)])
)</f>
        <v>999</v>
      </c>
    </row>
    <row r="74" spans="1:5" x14ac:dyDescent="0.3">
      <c r="A74" s="1" t="s">
        <v>794</v>
      </c>
      <c r="B74" s="1" t="s">
        <v>769</v>
      </c>
      <c r="C74" s="1" t="s">
        <v>797</v>
      </c>
      <c r="D74" s="1">
        <v>998</v>
      </c>
      <c r="E74" s="1">
        <f>e_makara[[#This Row],[UZUNLUK (mt)]] - (
    SUMIF(e_1[Makara Numarası], e_makara[[#This Row],[MAKARA NO]], e_1[Serim(m)]) +
    SUMIF(e_2[Makara Numarası], e_makara[[#This Row],[MAKARA NO]], e_2[Serim(m)])
)</f>
        <v>998</v>
      </c>
    </row>
    <row r="75" spans="1:5" x14ac:dyDescent="0.3">
      <c r="A75" s="1" t="s">
        <v>794</v>
      </c>
      <c r="B75" s="1" t="s">
        <v>645</v>
      </c>
      <c r="C75" s="1" t="s">
        <v>797</v>
      </c>
      <c r="D75" s="1">
        <v>1002</v>
      </c>
      <c r="E75" s="1">
        <f>e_makara[[#This Row],[UZUNLUK (mt)]] - (
    SUMIF(e_1[Makara Numarası], e_makara[[#This Row],[MAKARA NO]], e_1[Serim(m)]) +
    SUMIF(e_2[Makara Numarası], e_makara[[#This Row],[MAKARA NO]], e_2[Serim(m)])
)</f>
        <v>271</v>
      </c>
    </row>
    <row r="76" spans="1:5" x14ac:dyDescent="0.3">
      <c r="A76" s="1" t="s">
        <v>794</v>
      </c>
      <c r="B76" s="1" t="s">
        <v>640</v>
      </c>
      <c r="C76" s="1" t="s">
        <v>797</v>
      </c>
      <c r="D76" s="1">
        <v>1001</v>
      </c>
      <c r="E76" s="1">
        <f>e_makara[[#This Row],[UZUNLUK (mt)]] - (
    SUMIF(e_1[Makara Numarası], e_makara[[#This Row],[MAKARA NO]], e_1[Serim(m)]) +
    SUMIF(e_2[Makara Numarası], e_makara[[#This Row],[MAKARA NO]], e_2[Serim(m)])
)</f>
        <v>776</v>
      </c>
    </row>
    <row r="77" spans="1:5" x14ac:dyDescent="0.3">
      <c r="A77" s="1" t="s">
        <v>794</v>
      </c>
      <c r="B77" s="1" t="s">
        <v>656</v>
      </c>
      <c r="C77" s="1" t="s">
        <v>797</v>
      </c>
      <c r="D77" s="1">
        <v>1005</v>
      </c>
      <c r="E77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78" spans="1:5" x14ac:dyDescent="0.3">
      <c r="A78" s="1" t="s">
        <v>794</v>
      </c>
      <c r="B78" s="1" t="s">
        <v>630</v>
      </c>
      <c r="C78" s="1" t="s">
        <v>797</v>
      </c>
      <c r="D78" s="1">
        <v>1007</v>
      </c>
      <c r="E78" s="1">
        <f>e_makara[[#This Row],[UZUNLUK (mt)]] - (
    SUMIF(e_1[Makara Numarası], e_makara[[#This Row],[MAKARA NO]], e_1[Serim(m)]) +
    SUMIF(e_2[Makara Numarası], e_makara[[#This Row],[MAKARA NO]], e_2[Serim(m)])
)</f>
        <v>153</v>
      </c>
    </row>
    <row r="79" spans="1:5" x14ac:dyDescent="0.3">
      <c r="A79" s="1" t="s">
        <v>794</v>
      </c>
      <c r="B79" s="1" t="s">
        <v>638</v>
      </c>
      <c r="C79" s="1" t="s">
        <v>797</v>
      </c>
      <c r="D79" s="1">
        <v>1035</v>
      </c>
      <c r="E79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80" spans="1:5" x14ac:dyDescent="0.3">
      <c r="A80" s="1" t="s">
        <v>794</v>
      </c>
      <c r="B80" s="1" t="s">
        <v>770</v>
      </c>
      <c r="C80" s="1" t="s">
        <v>797</v>
      </c>
      <c r="D80" s="1">
        <v>1003</v>
      </c>
      <c r="E80" s="1">
        <f>e_makara[[#This Row],[UZUNLUK (mt)]] - (
    SUMIF(e_1[Makara Numarası], e_makara[[#This Row],[MAKARA NO]], e_1[Serim(m)]) +
    SUMIF(e_2[Makara Numarası], e_makara[[#This Row],[MAKARA NO]], e_2[Serim(m)])
)</f>
        <v>1003</v>
      </c>
    </row>
    <row r="81" spans="1:5" x14ac:dyDescent="0.3">
      <c r="A81" s="1" t="s">
        <v>794</v>
      </c>
      <c r="B81" s="1" t="s">
        <v>771</v>
      </c>
      <c r="C81" s="1" t="s">
        <v>797</v>
      </c>
      <c r="D81" s="1">
        <v>1016</v>
      </c>
      <c r="E81" s="1">
        <f>e_makara[[#This Row],[UZUNLUK (mt)]] - (
    SUMIF(e_1[Makara Numarası], e_makara[[#This Row],[MAKARA NO]], e_1[Serim(m)]) +
    SUMIF(e_2[Makara Numarası], e_makara[[#This Row],[MAKARA NO]], e_2[Serim(m)])
)</f>
        <v>1016</v>
      </c>
    </row>
    <row r="82" spans="1:5" x14ac:dyDescent="0.3">
      <c r="A82" s="1" t="s">
        <v>794</v>
      </c>
      <c r="B82" s="1" t="s">
        <v>625</v>
      </c>
      <c r="C82" s="1" t="s">
        <v>797</v>
      </c>
      <c r="D82" s="1">
        <v>1001</v>
      </c>
      <c r="E82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83" spans="1:5" x14ac:dyDescent="0.3">
      <c r="A83" s="1" t="s">
        <v>794</v>
      </c>
      <c r="B83" s="1" t="s">
        <v>636</v>
      </c>
      <c r="C83" s="1" t="s">
        <v>797</v>
      </c>
      <c r="D83" s="1">
        <v>1001</v>
      </c>
      <c r="E83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84" spans="1:5" x14ac:dyDescent="0.3">
      <c r="A84" s="1" t="s">
        <v>794</v>
      </c>
      <c r="B84" s="1" t="s">
        <v>664</v>
      </c>
      <c r="C84" s="1" t="s">
        <v>797</v>
      </c>
      <c r="D84" s="1">
        <v>998</v>
      </c>
      <c r="E84" s="1">
        <f>e_makara[[#This Row],[UZUNLUK (mt)]] - (
    SUMIF(e_1[Makara Numarası], e_makara[[#This Row],[MAKARA NO]], e_1[Serim(m)]) +
    SUMIF(e_2[Makara Numarası], e_makara[[#This Row],[MAKARA NO]], e_2[Serim(m)])
)</f>
        <v>38</v>
      </c>
    </row>
    <row r="85" spans="1:5" x14ac:dyDescent="0.3">
      <c r="A85" s="1" t="s">
        <v>794</v>
      </c>
      <c r="B85" s="1" t="s">
        <v>772</v>
      </c>
      <c r="C85" s="1" t="s">
        <v>797</v>
      </c>
      <c r="D85" s="1">
        <v>1015</v>
      </c>
      <c r="E85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86" spans="1:5" x14ac:dyDescent="0.3">
      <c r="A86" s="1" t="s">
        <v>794</v>
      </c>
      <c r="B86" s="1" t="s">
        <v>773</v>
      </c>
      <c r="C86" s="1" t="s">
        <v>797</v>
      </c>
      <c r="D86" s="1">
        <v>1015</v>
      </c>
      <c r="E86" s="1">
        <f>e_makara[[#This Row],[UZUNLUK (mt)]] - (
    SUMIF(e_1[Makara Numarası], e_makara[[#This Row],[MAKARA NO]], e_1[Serim(m)]) +
    SUMIF(e_2[Makara Numarası], e_makara[[#This Row],[MAKARA NO]], e_2[Serim(m)])
)</f>
        <v>1015</v>
      </c>
    </row>
    <row r="87" spans="1:5" x14ac:dyDescent="0.3">
      <c r="A87" s="1" t="s">
        <v>794</v>
      </c>
      <c r="B87" s="1" t="s">
        <v>623</v>
      </c>
      <c r="C87" s="1" t="s">
        <v>797</v>
      </c>
      <c r="D87" s="1">
        <v>1001</v>
      </c>
      <c r="E87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88" spans="1:5" x14ac:dyDescent="0.3">
      <c r="A88" s="1" t="s">
        <v>794</v>
      </c>
      <c r="B88" s="1" t="s">
        <v>774</v>
      </c>
      <c r="C88" s="1" t="s">
        <v>797</v>
      </c>
      <c r="D88" s="1">
        <v>1022</v>
      </c>
      <c r="E88" s="1">
        <f>e_makara[[#This Row],[UZUNLUK (mt)]] - (
    SUMIF(e_1[Makara Numarası], e_makara[[#This Row],[MAKARA NO]], e_1[Serim(m)]) +
    SUMIF(e_2[Makara Numarası], e_makara[[#This Row],[MAKARA NO]], e_2[Serim(m)])
)</f>
        <v>1022</v>
      </c>
    </row>
    <row r="89" spans="1:5" x14ac:dyDescent="0.3">
      <c r="A89" s="1" t="s">
        <v>794</v>
      </c>
      <c r="B89" s="1" t="s">
        <v>628</v>
      </c>
      <c r="C89" s="1" t="s">
        <v>797</v>
      </c>
      <c r="D89" s="1">
        <v>998</v>
      </c>
      <c r="E89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90" spans="1:5" x14ac:dyDescent="0.3">
      <c r="A90" s="1" t="s">
        <v>794</v>
      </c>
      <c r="B90" s="1" t="s">
        <v>572</v>
      </c>
      <c r="C90" s="1" t="s">
        <v>797</v>
      </c>
      <c r="D90" s="1">
        <v>1007</v>
      </c>
      <c r="E90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91" spans="1:5" x14ac:dyDescent="0.3">
      <c r="A91" s="1" t="s">
        <v>794</v>
      </c>
      <c r="B91" s="1" t="s">
        <v>562</v>
      </c>
      <c r="C91" s="1" t="s">
        <v>797</v>
      </c>
      <c r="D91" s="1">
        <v>1011</v>
      </c>
      <c r="E91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92" spans="1:5" x14ac:dyDescent="0.3">
      <c r="A92" s="1" t="s">
        <v>794</v>
      </c>
      <c r="B92" s="1" t="s">
        <v>775</v>
      </c>
      <c r="C92" s="1" t="s">
        <v>797</v>
      </c>
      <c r="D92" s="1">
        <v>1006</v>
      </c>
      <c r="E92" s="1">
        <f>e_makara[[#This Row],[UZUNLUK (mt)]] - (
    SUMIF(e_1[Makara Numarası], e_makara[[#This Row],[MAKARA NO]], e_1[Serim(m)]) +
    SUMIF(e_2[Makara Numarası], e_makara[[#This Row],[MAKARA NO]], e_2[Serim(m)])
)</f>
        <v>1006</v>
      </c>
    </row>
    <row r="93" spans="1:5" x14ac:dyDescent="0.3">
      <c r="A93" s="1" t="s">
        <v>794</v>
      </c>
      <c r="B93" s="1" t="s">
        <v>776</v>
      </c>
      <c r="C93" s="1" t="s">
        <v>797</v>
      </c>
      <c r="D93" s="1">
        <v>1005</v>
      </c>
      <c r="E93" s="1">
        <f>e_makara[[#This Row],[UZUNLUK (mt)]] - (
    SUMIF(e_1[Makara Numarası], e_makara[[#This Row],[MAKARA NO]], e_1[Serim(m)]) +
    SUMIF(e_2[Makara Numarası], e_makara[[#This Row],[MAKARA NO]], e_2[Serim(m)])
)</f>
        <v>1005</v>
      </c>
    </row>
    <row r="94" spans="1:5" x14ac:dyDescent="0.3">
      <c r="A94" s="1" t="s">
        <v>794</v>
      </c>
      <c r="B94" s="1" t="s">
        <v>777</v>
      </c>
      <c r="C94" s="1" t="s">
        <v>797</v>
      </c>
      <c r="D94" s="1">
        <v>1030</v>
      </c>
      <c r="E94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95" spans="1:5" x14ac:dyDescent="0.3">
      <c r="A95" s="1" t="s">
        <v>794</v>
      </c>
      <c r="B95" s="1" t="s">
        <v>778</v>
      </c>
      <c r="C95" s="1" t="s">
        <v>797</v>
      </c>
      <c r="D95" s="1">
        <v>1001</v>
      </c>
      <c r="E95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96" spans="1:5" x14ac:dyDescent="0.3">
      <c r="A96" s="1" t="s">
        <v>794</v>
      </c>
      <c r="B96" s="1" t="s">
        <v>568</v>
      </c>
      <c r="C96" s="1" t="s">
        <v>797</v>
      </c>
      <c r="D96" s="1">
        <v>1001</v>
      </c>
      <c r="E96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97" spans="1:5" x14ac:dyDescent="0.3">
      <c r="A97" s="1" t="s">
        <v>794</v>
      </c>
      <c r="B97" s="1" t="s">
        <v>560</v>
      </c>
      <c r="C97" s="1" t="s">
        <v>797</v>
      </c>
      <c r="D97" s="1">
        <v>1005</v>
      </c>
      <c r="E97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98" spans="1:5" x14ac:dyDescent="0.3">
      <c r="A98" s="1" t="s">
        <v>795</v>
      </c>
      <c r="B98" s="1" t="s">
        <v>779</v>
      </c>
      <c r="C98" s="1" t="s">
        <v>798</v>
      </c>
      <c r="D98" s="1">
        <v>1002</v>
      </c>
      <c r="E98" s="1">
        <f>e_makara[[#This Row],[UZUNLUK (mt)]] - (
    SUMIF(e_1[Makara Numarası], e_makara[[#This Row],[MAKARA NO]], e_1[Serim(m)]) +
    SUMIF(e_2[Makara Numarası], e_makara[[#This Row],[MAKARA NO]], e_2[Serim(m)])
)</f>
        <v>1002</v>
      </c>
    </row>
    <row r="99" spans="1:5" x14ac:dyDescent="0.3">
      <c r="A99" s="1" t="s">
        <v>795</v>
      </c>
      <c r="B99" s="1" t="s">
        <v>780</v>
      </c>
      <c r="C99" s="1" t="s">
        <v>798</v>
      </c>
      <c r="D99" s="1">
        <v>1043</v>
      </c>
      <c r="E99" s="1">
        <f>e_makara[[#This Row],[UZUNLUK (mt)]] - (
    SUMIF(e_1[Makara Numarası], e_makara[[#This Row],[MAKARA NO]], e_1[Serim(m)]) +
    SUMIF(e_2[Makara Numarası], e_makara[[#This Row],[MAKARA NO]], e_2[Serim(m)])
)</f>
        <v>1043</v>
      </c>
    </row>
    <row r="100" spans="1:5" x14ac:dyDescent="0.3">
      <c r="A100" s="1" t="s">
        <v>795</v>
      </c>
      <c r="B100" s="1" t="s">
        <v>781</v>
      </c>
      <c r="C100" s="1" t="s">
        <v>798</v>
      </c>
      <c r="D100" s="1">
        <v>1030</v>
      </c>
      <c r="E100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101" spans="1:5" x14ac:dyDescent="0.3">
      <c r="A101" s="1" t="s">
        <v>795</v>
      </c>
      <c r="B101" s="1" t="s">
        <v>782</v>
      </c>
      <c r="C101" s="1" t="s">
        <v>798</v>
      </c>
      <c r="D101" s="1">
        <v>1025</v>
      </c>
      <c r="E101" s="1">
        <f>e_makara[[#This Row],[UZUNLUK (mt)]] - (
    SUMIF(e_1[Makara Numarası], e_makara[[#This Row],[MAKARA NO]], e_1[Serim(m)]) +
    SUMIF(e_2[Makara Numarası], e_makara[[#This Row],[MAKARA NO]], e_2[Serim(m)])
)</f>
        <v>1025</v>
      </c>
    </row>
    <row r="102" spans="1:5" x14ac:dyDescent="0.3">
      <c r="A102" s="1" t="s">
        <v>795</v>
      </c>
      <c r="B102" s="1" t="s">
        <v>783</v>
      </c>
      <c r="C102" s="1" t="s">
        <v>798</v>
      </c>
      <c r="D102" s="1">
        <v>1030</v>
      </c>
      <c r="E102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103" spans="1:5" x14ac:dyDescent="0.3">
      <c r="A103" s="1" t="s">
        <v>795</v>
      </c>
      <c r="B103" s="1" t="s">
        <v>665</v>
      </c>
      <c r="C103" s="1" t="s">
        <v>798</v>
      </c>
      <c r="D103" s="1">
        <v>1030</v>
      </c>
      <c r="E103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104" spans="1:5" x14ac:dyDescent="0.3">
      <c r="A104" s="1" t="s">
        <v>795</v>
      </c>
      <c r="B104" s="1" t="s">
        <v>784</v>
      </c>
      <c r="C104" s="1" t="s">
        <v>798</v>
      </c>
      <c r="D104" s="1">
        <v>1030</v>
      </c>
      <c r="E104" s="1">
        <f>e_makara[[#This Row],[UZUNLUK (mt)]] - (
    SUMIF(e_1[Makara Numarası], e_makara[[#This Row],[MAKARA NO]], e_1[Serim(m)]) +
    SUMIF(e_2[Makara Numarası], e_makara[[#This Row],[MAKARA NO]], e_2[Serim(m)])
)</f>
        <v>1030</v>
      </c>
    </row>
    <row r="105" spans="1:5" x14ac:dyDescent="0.3">
      <c r="A105" s="1" t="s">
        <v>795</v>
      </c>
      <c r="B105" s="1" t="s">
        <v>671</v>
      </c>
      <c r="C105" s="1" t="s">
        <v>798</v>
      </c>
      <c r="D105" s="1">
        <v>1133</v>
      </c>
      <c r="E105" s="1">
        <f>e_makara[[#This Row],[UZUNLUK (mt)]] - (
    SUMIF(e_1[Makara Numarası], e_makara[[#This Row],[MAKARA NO]], e_1[Serim(m)]) +
    SUMIF(e_2[Makara Numarası], e_makara[[#This Row],[MAKARA NO]], e_2[Serim(m)])
)</f>
        <v>94</v>
      </c>
    </row>
    <row r="106" spans="1:5" x14ac:dyDescent="0.3">
      <c r="A106" s="1" t="s">
        <v>794</v>
      </c>
      <c r="B106" s="1" t="s">
        <v>574</v>
      </c>
      <c r="C106" s="1" t="s">
        <v>797</v>
      </c>
      <c r="D106" s="1">
        <v>998</v>
      </c>
      <c r="E106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107" spans="1:5" x14ac:dyDescent="0.3">
      <c r="A107" s="1" t="s">
        <v>795</v>
      </c>
      <c r="B107" s="1" t="s">
        <v>598</v>
      </c>
      <c r="C107" s="1" t="s">
        <v>798</v>
      </c>
      <c r="D107" s="1">
        <v>989</v>
      </c>
      <c r="E107" s="1">
        <f>e_makara[[#This Row],[UZUNLUK (mt)]] - (
    SUMIF(e_1[Makara Numarası], e_makara[[#This Row],[MAKARA NO]], e_1[Serim(m)]) +
    SUMIF(e_2[Makara Numarası], e_makara[[#This Row],[MAKARA NO]], e_2[Serim(m)])
)</f>
        <v>-18</v>
      </c>
    </row>
    <row r="108" spans="1:5" x14ac:dyDescent="0.3">
      <c r="A108" s="1" t="s">
        <v>794</v>
      </c>
      <c r="B108" s="1" t="s">
        <v>785</v>
      </c>
      <c r="C108" s="1" t="s">
        <v>797</v>
      </c>
      <c r="D108" s="1">
        <v>1002</v>
      </c>
      <c r="E108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109" spans="1:5" x14ac:dyDescent="0.3">
      <c r="A109" s="1" t="s">
        <v>794</v>
      </c>
      <c r="B109" s="1" t="s">
        <v>786</v>
      </c>
      <c r="C109" s="1" t="s">
        <v>797</v>
      </c>
      <c r="D109" s="1">
        <v>1001</v>
      </c>
      <c r="E109" s="1">
        <f>e_makara[[#This Row],[UZUNLUK (mt)]] - (
    SUMIF(e_1[Makara Numarası], e_makara[[#This Row],[MAKARA NO]], e_1[Serim(m)]) +
    SUMIF(e_2[Makara Numarası], e_makara[[#This Row],[MAKARA NO]], e_2[Serim(m)])
)</f>
        <v>299</v>
      </c>
    </row>
    <row r="110" spans="1:5" x14ac:dyDescent="0.3">
      <c r="A110" s="1" t="s">
        <v>794</v>
      </c>
      <c r="B110" s="1" t="s">
        <v>787</v>
      </c>
      <c r="C110" s="1" t="s">
        <v>797</v>
      </c>
      <c r="D110" s="1">
        <v>1000</v>
      </c>
      <c r="E110" s="1">
        <f>e_makara[[#This Row],[UZUNLUK (mt)]] - (
    SUMIF(e_1[Makara Numarası], e_makara[[#This Row],[MAKARA NO]], e_1[Serim(m)]) +
    SUMIF(e_2[Makara Numarası], e_makara[[#This Row],[MAKARA NO]], e_2[Serim(m)])
)</f>
        <v>1000</v>
      </c>
    </row>
    <row r="111" spans="1:5" x14ac:dyDescent="0.3">
      <c r="A111" s="1" t="s">
        <v>794</v>
      </c>
      <c r="B111" s="1" t="s">
        <v>788</v>
      </c>
      <c r="C111" s="1" t="s">
        <v>797</v>
      </c>
      <c r="D111" s="1">
        <v>1001</v>
      </c>
      <c r="E111" s="1">
        <f>e_makara[[#This Row],[UZUNLUK (mt)]] - (
    SUMIF(e_1[Makara Numarası], e_makara[[#This Row],[MAKARA NO]], e_1[Serim(m)]) +
    SUMIF(e_2[Makara Numarası], e_makara[[#This Row],[MAKARA NO]], e_2[Serim(m)])
)</f>
        <v>1001</v>
      </c>
    </row>
    <row r="112" spans="1:5" x14ac:dyDescent="0.3">
      <c r="A112" s="1" t="s">
        <v>794</v>
      </c>
      <c r="B112" s="1" t="s">
        <v>642</v>
      </c>
      <c r="C112" s="1" t="s">
        <v>797</v>
      </c>
      <c r="D112" s="1">
        <v>1007</v>
      </c>
      <c r="E112" s="1">
        <f>e_makara[[#This Row],[UZUNLUK (mt)]] - (
    SUMIF(e_1[Makara Numarası], e_makara[[#This Row],[MAKARA NO]], e_1[Serim(m)]) +
    SUMIF(e_2[Makara Numarası], e_makara[[#This Row],[MAKARA NO]], e_2[Serim(m)])
)</f>
        <v>239</v>
      </c>
    </row>
    <row r="113" spans="1:5" x14ac:dyDescent="0.3">
      <c r="A113" s="1" t="s">
        <v>795</v>
      </c>
      <c r="B113" s="1" t="s">
        <v>651</v>
      </c>
      <c r="C113" s="1" t="s">
        <v>798</v>
      </c>
      <c r="D113" s="1">
        <v>1010</v>
      </c>
      <c r="E113" s="1">
        <f>e_makara[[#This Row],[UZUNLUK (mt)]] - (
    SUMIF(e_1[Makara Numarası], e_makara[[#This Row],[MAKARA NO]], e_1[Serim(m)]) +
    SUMIF(e_2[Makara Numarası], e_makara[[#This Row],[MAKARA NO]], e_2[Serim(m)])
)</f>
        <v>0</v>
      </c>
    </row>
    <row r="114" spans="1:5" x14ac:dyDescent="0.3">
      <c r="A114" s="1" t="s">
        <v>795</v>
      </c>
      <c r="B114" s="1" t="s">
        <v>789</v>
      </c>
      <c r="C114" s="1" t="s">
        <v>798</v>
      </c>
      <c r="D114" s="1">
        <v>1097</v>
      </c>
      <c r="E114" s="1">
        <f>e_makara[[#This Row],[UZUNLUK (mt)]] - (
    SUMIF(e_1[Makara Numarası], e_makara[[#This Row],[MAKARA NO]], e_1[Serim(m)]) +
    SUMIF(e_2[Makara Numarası], e_makara[[#This Row],[MAKARA NO]], e_2[Serim(m)])
)</f>
        <v>1097</v>
      </c>
    </row>
    <row r="115" spans="1:5" x14ac:dyDescent="0.3">
      <c r="A115" s="1" t="s">
        <v>795</v>
      </c>
      <c r="B115" s="1" t="s">
        <v>790</v>
      </c>
      <c r="C115" s="1" t="s">
        <v>798</v>
      </c>
      <c r="D115" s="1">
        <v>1016</v>
      </c>
      <c r="E115" s="1">
        <f>e_makara[[#This Row],[UZUNLUK (mt)]] - (
    SUMIF(e_1[Makara Numarası], e_makara[[#This Row],[MAKARA NO]], e_1[Serim(m)]) +
    SUMIF(e_2[Makara Numarası], e_makara[[#This Row],[MAKARA NO]], e_2[Serim(m)])
)</f>
        <v>1016</v>
      </c>
    </row>
    <row r="116" spans="1:5" x14ac:dyDescent="0.3">
      <c r="A116" s="1" t="s">
        <v>795</v>
      </c>
      <c r="B116" s="1" t="s">
        <v>661</v>
      </c>
      <c r="C116" s="1" t="s">
        <v>798</v>
      </c>
      <c r="D116" s="1">
        <v>1010</v>
      </c>
      <c r="E116" s="1">
        <f>e_makara[[#This Row],[UZUNLUK (mt)]] - (
    SUMIF(e_1[Makara Numarası], e_makara[[#This Row],[MAKARA NO]], e_1[Serim(m)]) +
    SUMIF(e_2[Makara Numarası], e_makara[[#This Row],[MAKARA NO]], e_2[Serim(m)])
)</f>
        <v>412</v>
      </c>
    </row>
    <row r="117" spans="1:5" x14ac:dyDescent="0.3">
      <c r="A117" s="1" t="s">
        <v>795</v>
      </c>
      <c r="B117" s="1" t="s">
        <v>791</v>
      </c>
      <c r="C117" s="1" t="s">
        <v>798</v>
      </c>
      <c r="D117" s="1">
        <v>1010</v>
      </c>
      <c r="E117" s="1">
        <f>e_makara[[#This Row],[UZUNLUK (mt)]] - (
    SUMIF(e_1[Makara Numarası], e_makara[[#This Row],[MAKARA NO]], e_1[Serim(m)]) +
    SUMIF(e_2[Makara Numarası], e_makara[[#This Row],[MAKARA NO]], e_2[Serim(m)])
)</f>
        <v>1010</v>
      </c>
    </row>
    <row r="118" spans="1:5" x14ac:dyDescent="0.3">
      <c r="A118" s="1" t="s">
        <v>795</v>
      </c>
      <c r="B118" s="1" t="s">
        <v>792</v>
      </c>
      <c r="C118" s="1" t="s">
        <v>798</v>
      </c>
      <c r="D118" s="1">
        <v>1015</v>
      </c>
      <c r="E118" s="1">
        <f>e_makara[[#This Row],[UZUNLUK (mt)]] - (
    SUMIF(e_1[Makara Numarası], e_makara[[#This Row],[MAKARA NO]], e_1[Serim(m)]) +
    SUMIF(e_2[Makara Numarası], e_makara[[#This Row],[MAKARA NO]], e_2[Serim(m)])
)</f>
        <v>1015</v>
      </c>
    </row>
  </sheetData>
  <conditionalFormatting sqref="E1:E1048576">
    <cfRule type="cellIs" dxfId="103" priority="1" operator="between">
      <formula>-1</formula>
      <formula>-1000000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F579-55CB-4D4F-8DF5-3F53C895978B}">
  <dimension ref="A1:T75"/>
  <sheetViews>
    <sheetView topLeftCell="A45" zoomScale="59" zoomScaleNormal="96" workbookViewId="0">
      <selection activeCell="H62" sqref="A1:XFD1048576"/>
    </sheetView>
  </sheetViews>
  <sheetFormatPr defaultColWidth="29" defaultRowHeight="14.4" x14ac:dyDescent="0.3"/>
  <cols>
    <col min="1" max="1" width="12.109375" bestFit="1" customWidth="1"/>
    <col min="2" max="2" width="10.44140625" bestFit="1" customWidth="1"/>
    <col min="3" max="3" width="17.44140625" bestFit="1" customWidth="1"/>
    <col min="4" max="4" width="15.21875" bestFit="1" customWidth="1"/>
    <col min="5" max="5" width="14" bestFit="1" customWidth="1"/>
    <col min="6" max="6" width="15.5546875" bestFit="1" customWidth="1"/>
    <col min="7" max="7" width="20.77734375" bestFit="1" customWidth="1"/>
    <col min="8" max="8" width="21" bestFit="1" customWidth="1"/>
    <col min="9" max="9" width="20.6640625" bestFit="1" customWidth="1"/>
    <col min="10" max="10" width="17.21875" bestFit="1" customWidth="1"/>
    <col min="11" max="11" width="21" bestFit="1" customWidth="1"/>
    <col min="12" max="12" width="17.77734375" bestFit="1" customWidth="1"/>
    <col min="13" max="13" width="17.6640625" bestFit="1" customWidth="1"/>
    <col min="14" max="14" width="14.44140625" bestFit="1" customWidth="1"/>
    <col min="15" max="15" width="17.77734375" bestFit="1" customWidth="1"/>
    <col min="16" max="16" width="12.88671875" bestFit="1" customWidth="1"/>
    <col min="17" max="17" width="24.44140625" bestFit="1" customWidth="1"/>
    <col min="18" max="18" width="15.21875" bestFit="1" customWidth="1"/>
    <col min="19" max="19" width="18.21875" bestFit="1" customWidth="1"/>
    <col min="20" max="20" width="16.109375" bestFit="1" customWidth="1"/>
    <col min="21" max="21" width="13.88671875" bestFit="1" customWidth="1"/>
    <col min="22" max="22" width="11.88671875" bestFit="1" customWidth="1"/>
    <col min="23" max="23" width="12.21875" bestFit="1" customWidth="1"/>
    <col min="24" max="24" width="5.5546875" bestFit="1" customWidth="1"/>
    <col min="25" max="25" width="12" bestFit="1" customWidth="1"/>
    <col min="26" max="27" width="4.21875" bestFit="1" customWidth="1"/>
    <col min="28" max="28" width="3.44140625" bestFit="1" customWidth="1"/>
    <col min="29" max="29" width="7.5546875" bestFit="1" customWidth="1"/>
    <col min="30" max="30" width="5.6640625" bestFit="1" customWidth="1"/>
    <col min="31" max="31" width="7.6640625" bestFit="1" customWidth="1"/>
    <col min="32" max="32" width="5.6640625" bestFit="1" customWidth="1"/>
    <col min="33" max="33" width="1.77734375" bestFit="1" customWidth="1"/>
    <col min="34" max="34" width="15.6640625" customWidth="1"/>
    <col min="35" max="36" width="3.44140625" bestFit="1" customWidth="1"/>
  </cols>
  <sheetData>
    <row r="1" spans="1:20" x14ac:dyDescent="0.3">
      <c r="A1" s="19" t="s">
        <v>46</v>
      </c>
      <c r="B1" s="20" t="s">
        <v>557</v>
      </c>
      <c r="C1" s="20" t="s">
        <v>48</v>
      </c>
      <c r="D1" s="20" t="s">
        <v>49</v>
      </c>
      <c r="E1" s="20" t="s">
        <v>50</v>
      </c>
      <c r="F1" s="20" t="s">
        <v>51</v>
      </c>
      <c r="G1" s="20" t="s">
        <v>52</v>
      </c>
      <c r="H1" s="20" t="s">
        <v>53</v>
      </c>
      <c r="I1" s="20" t="s">
        <v>54</v>
      </c>
      <c r="J1" s="20" t="s">
        <v>55</v>
      </c>
      <c r="K1" s="20" t="s">
        <v>56</v>
      </c>
      <c r="L1" s="20" t="s">
        <v>57</v>
      </c>
      <c r="M1" s="20" t="s">
        <v>58</v>
      </c>
      <c r="N1" s="20" t="s">
        <v>59</v>
      </c>
      <c r="O1" s="20" t="s">
        <v>60</v>
      </c>
      <c r="P1" s="20" t="s">
        <v>61</v>
      </c>
      <c r="Q1" s="20" t="s">
        <v>62</v>
      </c>
      <c r="R1" s="21" t="s">
        <v>63</v>
      </c>
      <c r="S1" s="71" t="s">
        <v>817</v>
      </c>
      <c r="T1" s="71" t="s">
        <v>819</v>
      </c>
    </row>
    <row r="2" spans="1:20" x14ac:dyDescent="0.3">
      <c r="A2" s="17">
        <v>45939</v>
      </c>
      <c r="B2" s="11" t="s">
        <v>3</v>
      </c>
      <c r="C2" s="11" t="s">
        <v>72</v>
      </c>
      <c r="D2" s="11" t="s">
        <v>73</v>
      </c>
      <c r="E2" s="11" t="s">
        <v>74</v>
      </c>
      <c r="F2" s="11" t="s">
        <v>559</v>
      </c>
      <c r="G2" s="11" t="s">
        <v>575</v>
      </c>
      <c r="H2" s="11">
        <v>1005</v>
      </c>
      <c r="I2" s="11">
        <v>1005</v>
      </c>
      <c r="J2" s="11">
        <v>232</v>
      </c>
      <c r="K2" s="11" t="s">
        <v>78</v>
      </c>
      <c r="L2" s="11" t="s">
        <v>69</v>
      </c>
      <c r="M2" s="11" t="s">
        <v>76</v>
      </c>
      <c r="N2" s="11" t="s">
        <v>77</v>
      </c>
      <c r="O2" s="11">
        <v>1</v>
      </c>
      <c r="P2" s="11"/>
      <c r="Q2" s="11">
        <v>232</v>
      </c>
      <c r="R2" s="11">
        <v>773</v>
      </c>
      <c r="S2" s="69" t="str">
        <f>IF(SUMPRODUCT((e_makara[[#Headers],[MAKARA NO]]=e_1[[#This Row],[Makara Numarası]])*(e_makara[[#Headers],[Kalan]]&lt;0))&gt;0,
    "HATA VAR",
    "")</f>
        <v/>
      </c>
      <c r="T2" s="69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3" spans="1:20" x14ac:dyDescent="0.3">
      <c r="A3" s="17">
        <v>45939</v>
      </c>
      <c r="B3" s="11" t="s">
        <v>3</v>
      </c>
      <c r="C3" s="11" t="s">
        <v>573</v>
      </c>
      <c r="D3" s="11" t="s">
        <v>80</v>
      </c>
      <c r="E3" s="11" t="s">
        <v>81</v>
      </c>
      <c r="F3" s="11" t="s">
        <v>567</v>
      </c>
      <c r="G3" s="11" t="s">
        <v>574</v>
      </c>
      <c r="H3" s="11">
        <v>998</v>
      </c>
      <c r="I3" s="11">
        <v>999</v>
      </c>
      <c r="J3" s="11">
        <v>226</v>
      </c>
      <c r="K3" s="11" t="s">
        <v>76</v>
      </c>
      <c r="L3" s="11" t="s">
        <v>77</v>
      </c>
      <c r="M3" s="11" t="s">
        <v>82</v>
      </c>
      <c r="N3" s="11" t="s">
        <v>83</v>
      </c>
      <c r="O3" s="11">
        <v>1</v>
      </c>
      <c r="P3" s="11"/>
      <c r="Q3" s="11">
        <v>226</v>
      </c>
      <c r="R3" s="11">
        <v>773</v>
      </c>
      <c r="S3" s="68" t="str">
        <f>IF(SUMPRODUCT((e_makara[[#Headers],[MAKARA NO]]=e_1[[#This Row],[Makara Numarası]])*(e_makara[[#Headers],[Kalan]]&lt;0))&gt;0,
    "HATA VAR",
    "")</f>
        <v/>
      </c>
      <c r="T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" spans="1:20" x14ac:dyDescent="0.3">
      <c r="A4" s="17">
        <v>45938</v>
      </c>
      <c r="B4" s="11" t="s">
        <v>3</v>
      </c>
      <c r="C4" s="11" t="s">
        <v>569</v>
      </c>
      <c r="D4" s="11" t="s">
        <v>699</v>
      </c>
      <c r="E4" s="11" t="s">
        <v>700</v>
      </c>
      <c r="F4" s="11" t="s">
        <v>567</v>
      </c>
      <c r="G4" s="11" t="s">
        <v>572</v>
      </c>
      <c r="H4" s="11">
        <v>1007</v>
      </c>
      <c r="I4" s="11">
        <v>1007</v>
      </c>
      <c r="J4" s="11">
        <v>0</v>
      </c>
      <c r="K4" s="11" t="s">
        <v>82</v>
      </c>
      <c r="L4" s="11" t="s">
        <v>83</v>
      </c>
      <c r="M4" s="11" t="s">
        <v>463</v>
      </c>
      <c r="N4" s="11" t="s">
        <v>571</v>
      </c>
      <c r="O4" s="11">
        <v>1</v>
      </c>
      <c r="P4" s="11" t="s">
        <v>571</v>
      </c>
      <c r="Q4" s="11">
        <v>0</v>
      </c>
      <c r="R4" s="11">
        <v>1007</v>
      </c>
      <c r="S4" s="68" t="str">
        <f>IF(SUMPRODUCT((e_makara[[#Headers],[MAKARA NO]]=e_1[[#This Row],[Makara Numarası]])*(e_makara[[#Headers],[Kalan]]&lt;0))&gt;0,
    "HATA VAR",
    "")</f>
        <v/>
      </c>
      <c r="T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" spans="1:20" x14ac:dyDescent="0.3">
      <c r="A5" s="17">
        <v>45938</v>
      </c>
      <c r="B5" s="11" t="s">
        <v>3</v>
      </c>
      <c r="C5" s="11" t="s">
        <v>569</v>
      </c>
      <c r="D5" s="11" t="s">
        <v>705</v>
      </c>
      <c r="E5" s="11" t="s">
        <v>685</v>
      </c>
      <c r="F5" s="11" t="s">
        <v>567</v>
      </c>
      <c r="G5" s="11" t="s">
        <v>568</v>
      </c>
      <c r="H5" s="11">
        <v>197</v>
      </c>
      <c r="I5" s="11">
        <v>197</v>
      </c>
      <c r="J5" s="11">
        <v>0</v>
      </c>
      <c r="K5" s="11" t="s">
        <v>706</v>
      </c>
      <c r="L5" s="11" t="s">
        <v>570</v>
      </c>
      <c r="M5" s="11" t="s">
        <v>90</v>
      </c>
      <c r="N5" s="11" t="s">
        <v>89</v>
      </c>
      <c r="O5" s="11">
        <v>1</v>
      </c>
      <c r="P5" s="11" t="s">
        <v>571</v>
      </c>
      <c r="Q5" s="11">
        <v>0</v>
      </c>
      <c r="R5" s="11">
        <v>197</v>
      </c>
      <c r="S5" s="68" t="str">
        <f>IF(SUMPRODUCT((e_makara[[#Headers],[MAKARA NO]]=e_1[[#This Row],[Makara Numarası]])*(e_makara[[#Headers],[Kalan]]&lt;0))&gt;0,
    "HATA VAR",
    "")</f>
        <v/>
      </c>
      <c r="T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" spans="1:20" x14ac:dyDescent="0.3">
      <c r="A6" s="17">
        <v>45943</v>
      </c>
      <c r="B6" s="11" t="s">
        <v>3</v>
      </c>
      <c r="C6" s="11" t="s">
        <v>576</v>
      </c>
      <c r="D6" s="11" t="s">
        <v>707</v>
      </c>
      <c r="E6" s="11" t="s">
        <v>686</v>
      </c>
      <c r="F6" s="11" t="s">
        <v>567</v>
      </c>
      <c r="G6" s="11" t="s">
        <v>562</v>
      </c>
      <c r="H6" s="11">
        <v>98</v>
      </c>
      <c r="I6" s="11">
        <v>98</v>
      </c>
      <c r="J6" s="11">
        <v>65</v>
      </c>
      <c r="K6" s="11" t="s">
        <v>138</v>
      </c>
      <c r="L6" s="11" t="s">
        <v>577</v>
      </c>
      <c r="M6" s="11" t="s">
        <v>687</v>
      </c>
      <c r="N6" s="11" t="s">
        <v>89</v>
      </c>
      <c r="O6" s="11">
        <v>1</v>
      </c>
      <c r="P6" s="11"/>
      <c r="Q6" s="11">
        <v>65</v>
      </c>
      <c r="R6" s="11">
        <v>33</v>
      </c>
      <c r="S6" s="68" t="str">
        <f>IF(SUMPRODUCT((e_makara[[#Headers],[MAKARA NO]]=e_1[[#This Row],[Makara Numarası]])*(e_makara[[#Headers],[Kalan]]&lt;0))&gt;0,
    "HATA VAR",
    "")</f>
        <v/>
      </c>
      <c r="T6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" spans="1:20" x14ac:dyDescent="0.3">
      <c r="A7" s="24">
        <v>45938</v>
      </c>
      <c r="B7" s="11" t="s">
        <v>3</v>
      </c>
      <c r="C7" s="11" t="s">
        <v>566</v>
      </c>
      <c r="D7" s="11" t="s">
        <v>92</v>
      </c>
      <c r="E7" s="11" t="s">
        <v>93</v>
      </c>
      <c r="F7" s="11" t="s">
        <v>567</v>
      </c>
      <c r="G7" s="11" t="s">
        <v>568</v>
      </c>
      <c r="H7" s="11">
        <v>1001</v>
      </c>
      <c r="I7" s="11">
        <v>1001</v>
      </c>
      <c r="J7" s="11">
        <v>197</v>
      </c>
      <c r="K7" s="11" t="s">
        <v>90</v>
      </c>
      <c r="L7" s="11" t="s">
        <v>89</v>
      </c>
      <c r="M7" s="11" t="s">
        <v>94</v>
      </c>
      <c r="N7" s="11" t="s">
        <v>95</v>
      </c>
      <c r="O7" s="11">
        <v>1</v>
      </c>
      <c r="P7" s="11"/>
      <c r="Q7" s="11">
        <v>197</v>
      </c>
      <c r="R7" s="11">
        <v>804</v>
      </c>
      <c r="S7" s="68" t="str">
        <f>IF(SUMPRODUCT((e_makara[[#Headers],[MAKARA NO]]=e_1[[#This Row],[Makara Numarası]])*(e_makara[[#Headers],[Kalan]]&lt;0))&gt;0,
    "HATA VAR",
    "")</f>
        <v/>
      </c>
      <c r="T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8" spans="1:20" x14ac:dyDescent="0.3">
      <c r="A8" s="17">
        <v>45937</v>
      </c>
      <c r="B8" s="11" t="s">
        <v>3</v>
      </c>
      <c r="C8" s="11" t="s">
        <v>558</v>
      </c>
      <c r="D8" s="11" t="s">
        <v>103</v>
      </c>
      <c r="E8" s="11" t="s">
        <v>683</v>
      </c>
      <c r="F8" s="11" t="s">
        <v>559</v>
      </c>
      <c r="G8" s="11" t="s">
        <v>562</v>
      </c>
      <c r="H8" s="11">
        <v>1011</v>
      </c>
      <c r="I8" s="11">
        <v>1011</v>
      </c>
      <c r="J8" s="11">
        <v>733</v>
      </c>
      <c r="K8" s="11" t="s">
        <v>563</v>
      </c>
      <c r="L8" s="11" t="s">
        <v>564</v>
      </c>
      <c r="M8" s="11" t="s">
        <v>563</v>
      </c>
      <c r="N8" s="11" t="s">
        <v>100</v>
      </c>
      <c r="O8" s="11">
        <v>1</v>
      </c>
      <c r="P8" s="11"/>
      <c r="Q8" s="11" t="s">
        <v>565</v>
      </c>
      <c r="R8" s="11">
        <v>278</v>
      </c>
      <c r="S8" s="75" t="str">
        <f>IF(SUMPRODUCT((e_makara[[#Headers],[MAKARA NO]]=e_1[[#This Row],[Makara Numarası]])*(e_makara[[#Headers],[Kalan]]&lt;0))&gt;0,
    "HATA VAR",
    "")</f>
        <v/>
      </c>
      <c r="T8" s="75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9" spans="1:20" x14ac:dyDescent="0.3">
      <c r="A9" s="17">
        <v>45937</v>
      </c>
      <c r="B9" s="11" t="s">
        <v>3</v>
      </c>
      <c r="C9" s="11" t="s">
        <v>684</v>
      </c>
      <c r="D9" s="11" t="s">
        <v>683</v>
      </c>
      <c r="E9" s="11" t="s">
        <v>92</v>
      </c>
      <c r="F9" s="11" t="s">
        <v>559</v>
      </c>
      <c r="G9" s="11" t="s">
        <v>562</v>
      </c>
      <c r="H9" s="11">
        <v>733</v>
      </c>
      <c r="I9" s="11">
        <v>733</v>
      </c>
      <c r="J9" s="11">
        <v>98</v>
      </c>
      <c r="K9" s="11" t="s">
        <v>94</v>
      </c>
      <c r="L9" s="11" t="s">
        <v>95</v>
      </c>
      <c r="M9" s="11" t="s">
        <v>563</v>
      </c>
      <c r="N9" s="11" t="s">
        <v>100</v>
      </c>
      <c r="O9" s="11">
        <v>1</v>
      </c>
      <c r="P9" s="11"/>
      <c r="Q9" s="11">
        <v>98</v>
      </c>
      <c r="R9" s="11">
        <v>635</v>
      </c>
      <c r="S9" s="68" t="str">
        <f>IF(SUMPRODUCT((e_makara[[#Headers],[MAKARA NO]]=e_1[[#This Row],[Makara Numarası]])*(e_makara[[#Headers],[Kalan]]&lt;0))&gt;0,
    "HATA VAR",
    "")</f>
        <v/>
      </c>
      <c r="T9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0" spans="1:20" x14ac:dyDescent="0.3">
      <c r="A10" s="17">
        <v>45937</v>
      </c>
      <c r="B10" s="11" t="s">
        <v>3</v>
      </c>
      <c r="C10" s="11" t="s">
        <v>558</v>
      </c>
      <c r="D10" s="11" t="s">
        <v>103</v>
      </c>
      <c r="E10" s="11" t="s">
        <v>683</v>
      </c>
      <c r="F10" s="11" t="s">
        <v>559</v>
      </c>
      <c r="G10" s="11" t="s">
        <v>560</v>
      </c>
      <c r="H10" s="11">
        <v>1005</v>
      </c>
      <c r="I10" s="11">
        <v>1005</v>
      </c>
      <c r="J10" s="11">
        <v>0</v>
      </c>
      <c r="K10" s="11" t="s">
        <v>688</v>
      </c>
      <c r="L10" s="11" t="s">
        <v>561</v>
      </c>
      <c r="M10" s="11" t="s">
        <v>138</v>
      </c>
      <c r="N10" s="11" t="s">
        <v>4</v>
      </c>
      <c r="O10" s="11">
        <v>1</v>
      </c>
      <c r="P10" s="11" t="s">
        <v>688</v>
      </c>
      <c r="Q10" s="11">
        <v>0</v>
      </c>
      <c r="R10" s="11">
        <v>1005</v>
      </c>
      <c r="S10" s="68" t="str">
        <f>IF(SUMPRODUCT((e_makara[[#Headers],[MAKARA NO]]=e_1[[#This Row],[Makara Numarası]])*(e_makara[[#Headers],[Kalan]]&lt;0))&gt;0,
    "HATA VAR",
    "")</f>
        <v/>
      </c>
      <c r="T10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1" spans="1:20" x14ac:dyDescent="0.3">
      <c r="A11" s="17">
        <v>45944</v>
      </c>
      <c r="B11" s="11" t="s">
        <v>3</v>
      </c>
      <c r="C11" s="11" t="s">
        <v>106</v>
      </c>
      <c r="D11" s="11" t="s">
        <v>107</v>
      </c>
      <c r="E11" s="11" t="s">
        <v>103</v>
      </c>
      <c r="F11" s="11" t="s">
        <v>559</v>
      </c>
      <c r="G11" s="11" t="s">
        <v>580</v>
      </c>
      <c r="H11" s="11">
        <v>1015</v>
      </c>
      <c r="I11" s="11">
        <v>1015</v>
      </c>
      <c r="J11" s="11">
        <v>355</v>
      </c>
      <c r="K11" s="11" t="s">
        <v>104</v>
      </c>
      <c r="L11" s="11" t="s">
        <v>4</v>
      </c>
      <c r="M11" s="11" t="s">
        <v>109</v>
      </c>
      <c r="N11" s="11" t="s">
        <v>110</v>
      </c>
      <c r="O11" s="11">
        <v>1</v>
      </c>
      <c r="P11" s="11"/>
      <c r="Q11" s="11">
        <v>355</v>
      </c>
      <c r="R11" s="11">
        <v>660</v>
      </c>
      <c r="S11" s="68" t="str">
        <f>IF(SUMPRODUCT((e_makara[[#Headers],[MAKARA NO]]=e_1[[#This Row],[Makara Numarası]])*(e_makara[[#Headers],[Kalan]]&lt;0))&gt;0,
    "HATA VAR",
    "")</f>
        <v/>
      </c>
      <c r="T11" s="68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12" spans="1:20" x14ac:dyDescent="0.3">
      <c r="A12" s="17">
        <v>45944</v>
      </c>
      <c r="B12" s="11" t="s">
        <v>3</v>
      </c>
      <c r="C12" s="11" t="s">
        <v>112</v>
      </c>
      <c r="D12" s="11" t="s">
        <v>113</v>
      </c>
      <c r="E12" s="11" t="s">
        <v>107</v>
      </c>
      <c r="F12" s="11" t="s">
        <v>559</v>
      </c>
      <c r="G12" s="11" t="s">
        <v>613</v>
      </c>
      <c r="H12" s="11">
        <v>704</v>
      </c>
      <c r="I12" s="11">
        <v>704</v>
      </c>
      <c r="J12" s="11">
        <v>75</v>
      </c>
      <c r="K12" s="11" t="s">
        <v>109</v>
      </c>
      <c r="L12" s="11" t="s">
        <v>110</v>
      </c>
      <c r="M12" s="11" t="s">
        <v>114</v>
      </c>
      <c r="N12" s="11" t="s">
        <v>115</v>
      </c>
      <c r="O12" s="11">
        <v>1</v>
      </c>
      <c r="P12" s="11"/>
      <c r="Q12" s="11">
        <v>75</v>
      </c>
      <c r="R12" s="11">
        <v>629</v>
      </c>
      <c r="S12" s="68" t="str">
        <f>IF(SUMPRODUCT((e_makara[[#Headers],[MAKARA NO]]=e_1[[#This Row],[Makara Numarası]])*(e_makara[[#Headers],[Kalan]]&lt;0))&gt;0,
    "HATA VAR",
    "")</f>
        <v/>
      </c>
      <c r="T12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3" spans="1:20" x14ac:dyDescent="0.3">
      <c r="A13" s="17">
        <v>45944</v>
      </c>
      <c r="B13" s="11" t="s">
        <v>3</v>
      </c>
      <c r="C13" s="11" t="s">
        <v>578</v>
      </c>
      <c r="D13" s="11" t="s">
        <v>701</v>
      </c>
      <c r="E13" s="11" t="s">
        <v>113</v>
      </c>
      <c r="F13" s="11" t="s">
        <v>559</v>
      </c>
      <c r="G13" s="11" t="s">
        <v>613</v>
      </c>
      <c r="H13" s="11">
        <v>1010</v>
      </c>
      <c r="I13" s="11">
        <v>1010</v>
      </c>
      <c r="J13" s="11">
        <v>704</v>
      </c>
      <c r="K13" s="11" t="s">
        <v>114</v>
      </c>
      <c r="L13" s="11" t="s">
        <v>115</v>
      </c>
      <c r="M13" s="11" t="s">
        <v>195</v>
      </c>
      <c r="N13" s="11" t="s">
        <v>126</v>
      </c>
      <c r="O13" s="11">
        <v>1</v>
      </c>
      <c r="P13" s="11"/>
      <c r="Q13" s="11">
        <v>704</v>
      </c>
      <c r="R13" s="11">
        <v>314</v>
      </c>
      <c r="S13" s="68" t="str">
        <f>IF(SUMPRODUCT((e_makara[[#Headers],[MAKARA NO]]=e_1[[#This Row],[Makara Numarası]])*(e_makara[[#Headers],[Kalan]]&lt;0))&gt;0,
    "HATA VAR",
    "")</f>
        <v/>
      </c>
      <c r="T1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4" spans="1:20" x14ac:dyDescent="0.3">
      <c r="A14" s="17">
        <v>45944</v>
      </c>
      <c r="B14" s="11" t="s">
        <v>3</v>
      </c>
      <c r="C14" s="11" t="s">
        <v>581</v>
      </c>
      <c r="D14" s="11" t="s">
        <v>702</v>
      </c>
      <c r="E14" s="11" t="s">
        <v>129</v>
      </c>
      <c r="F14" s="11" t="s">
        <v>708</v>
      </c>
      <c r="G14" s="11" t="s">
        <v>582</v>
      </c>
      <c r="H14" s="11">
        <v>1012</v>
      </c>
      <c r="I14" s="11">
        <v>1012</v>
      </c>
      <c r="J14" s="11">
        <v>0</v>
      </c>
      <c r="K14" s="11" t="s">
        <v>583</v>
      </c>
      <c r="L14" s="11" t="s">
        <v>126</v>
      </c>
      <c r="M14" s="11" t="s">
        <v>130</v>
      </c>
      <c r="N14" s="11" t="s">
        <v>584</v>
      </c>
      <c r="O14" s="11">
        <v>1</v>
      </c>
      <c r="P14" s="11" t="s">
        <v>584</v>
      </c>
      <c r="Q14" s="11">
        <v>0</v>
      </c>
      <c r="R14" s="11">
        <v>1012</v>
      </c>
      <c r="S14" s="68" t="str">
        <f>IF(SUMPRODUCT((e_makara[[#Headers],[MAKARA NO]]=e_1[[#This Row],[Makara Numarası]])*(e_makara[[#Headers],[Kalan]]&lt;0))&gt;0,
    "HATA VAR",
    "")</f>
        <v/>
      </c>
      <c r="T1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5" spans="1:20" x14ac:dyDescent="0.3">
      <c r="A15" s="17">
        <v>45944</v>
      </c>
      <c r="B15" s="11" t="s">
        <v>3</v>
      </c>
      <c r="C15" s="11" t="s">
        <v>581</v>
      </c>
      <c r="D15" s="11" t="s">
        <v>702</v>
      </c>
      <c r="E15" s="11" t="s">
        <v>129</v>
      </c>
      <c r="F15" s="11" t="s">
        <v>708</v>
      </c>
      <c r="G15" s="11" t="s">
        <v>585</v>
      </c>
      <c r="H15" s="11">
        <v>1006</v>
      </c>
      <c r="I15" s="11">
        <v>1006</v>
      </c>
      <c r="J15" s="11">
        <v>849</v>
      </c>
      <c r="K15" s="11" t="s">
        <v>138</v>
      </c>
      <c r="L15" s="11" t="s">
        <v>584</v>
      </c>
      <c r="M15" s="11" t="s">
        <v>130</v>
      </c>
      <c r="N15" s="11" t="s">
        <v>586</v>
      </c>
      <c r="O15" s="11">
        <v>1</v>
      </c>
      <c r="P15" s="11"/>
      <c r="Q15" s="11">
        <v>849</v>
      </c>
      <c r="R15" s="11">
        <v>157</v>
      </c>
      <c r="S15" s="68" t="str">
        <f>IF(SUMPRODUCT((e_makara[[#Headers],[MAKARA NO]]=e_1[[#This Row],[Makara Numarası]])*(e_makara[[#Headers],[Kalan]]&lt;0))&gt;0,
    "HATA VAR",
    "")</f>
        <v/>
      </c>
      <c r="T1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6" spans="1:20" x14ac:dyDescent="0.3">
      <c r="A16" s="17">
        <v>45944</v>
      </c>
      <c r="B16" s="11" t="s">
        <v>3</v>
      </c>
      <c r="C16" s="11" t="s">
        <v>587</v>
      </c>
      <c r="D16" s="11" t="s">
        <v>129</v>
      </c>
      <c r="E16" s="11" t="s">
        <v>139</v>
      </c>
      <c r="F16" s="11" t="s">
        <v>708</v>
      </c>
      <c r="G16" s="11" t="s">
        <v>585</v>
      </c>
      <c r="H16" s="11">
        <v>849</v>
      </c>
      <c r="I16" s="11">
        <v>849</v>
      </c>
      <c r="J16" s="11">
        <v>0</v>
      </c>
      <c r="K16" s="11" t="s">
        <v>130</v>
      </c>
      <c r="L16" s="11" t="s">
        <v>586</v>
      </c>
      <c r="M16" s="11" t="s">
        <v>139</v>
      </c>
      <c r="N16" s="11" t="s">
        <v>588</v>
      </c>
      <c r="O16" s="11">
        <v>1</v>
      </c>
      <c r="P16" s="11" t="s">
        <v>588</v>
      </c>
      <c r="Q16" s="11">
        <v>0</v>
      </c>
      <c r="R16" s="11">
        <v>849</v>
      </c>
      <c r="S16" s="68" t="str">
        <f>IF(SUMPRODUCT((e_makara[[#Headers],[MAKARA NO]]=e_1[[#This Row],[Makara Numarası]])*(e_makara[[#Headers],[Kalan]]&lt;0))&gt;0,
    "HATA VAR",
    "")</f>
        <v/>
      </c>
      <c r="T16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7" spans="1:20" x14ac:dyDescent="0.3">
      <c r="A17" s="17">
        <v>45945</v>
      </c>
      <c r="B17" s="11" t="s">
        <v>3</v>
      </c>
      <c r="C17" s="11" t="s">
        <v>132</v>
      </c>
      <c r="D17" s="11" t="s">
        <v>129</v>
      </c>
      <c r="E17" s="11" t="s">
        <v>133</v>
      </c>
      <c r="F17" s="11" t="s">
        <v>708</v>
      </c>
      <c r="G17" s="11" t="s">
        <v>589</v>
      </c>
      <c r="H17" s="11">
        <v>1011</v>
      </c>
      <c r="I17" s="11">
        <v>1011</v>
      </c>
      <c r="J17" s="11">
        <v>965</v>
      </c>
      <c r="K17" s="11" t="s">
        <v>130</v>
      </c>
      <c r="L17" s="11" t="s">
        <v>588</v>
      </c>
      <c r="M17" s="11" t="s">
        <v>134</v>
      </c>
      <c r="N17" s="11" t="s">
        <v>135</v>
      </c>
      <c r="O17" s="11">
        <v>1</v>
      </c>
      <c r="P17" s="11"/>
      <c r="Q17" s="11">
        <v>965</v>
      </c>
      <c r="R17" s="11">
        <v>46</v>
      </c>
      <c r="S17" s="68" t="str">
        <f>IF(SUMPRODUCT((e_makara[[#Headers],[MAKARA NO]]=e_1[[#This Row],[Makara Numarası]])*(e_makara[[#Headers],[Kalan]]&lt;0))&gt;0,
    "HATA VAR",
    "")</f>
        <v/>
      </c>
      <c r="T1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8" spans="1:20" x14ac:dyDescent="0.3">
      <c r="A18" s="17">
        <v>45945</v>
      </c>
      <c r="B18" s="11" t="s">
        <v>3</v>
      </c>
      <c r="C18" s="11" t="s">
        <v>136</v>
      </c>
      <c r="D18" s="11" t="s">
        <v>133</v>
      </c>
      <c r="E18" s="11" t="s">
        <v>137</v>
      </c>
      <c r="F18" s="11" t="s">
        <v>708</v>
      </c>
      <c r="G18" s="11" t="s">
        <v>589</v>
      </c>
      <c r="H18" s="11">
        <v>965</v>
      </c>
      <c r="I18" s="11">
        <v>965</v>
      </c>
      <c r="J18" s="11">
        <v>434</v>
      </c>
      <c r="K18" s="11" t="s">
        <v>134</v>
      </c>
      <c r="L18" s="11" t="s">
        <v>135</v>
      </c>
      <c r="M18" s="11" t="s">
        <v>139</v>
      </c>
      <c r="N18" s="11" t="s">
        <v>140</v>
      </c>
      <c r="O18" s="11">
        <v>1</v>
      </c>
      <c r="P18" s="11"/>
      <c r="Q18" s="11">
        <v>434</v>
      </c>
      <c r="R18" s="11">
        <v>531</v>
      </c>
      <c r="S18" s="68" t="str">
        <f>IF(SUMPRODUCT((e_makara[[#Headers],[MAKARA NO]]=e_1[[#This Row],[Makara Numarası]])*(e_makara[[#Headers],[Kalan]]&lt;0))&gt;0,
    "HATA VAR",
    "")</f>
        <v/>
      </c>
      <c r="T18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19" spans="1:20" x14ac:dyDescent="0.3">
      <c r="A19" s="17">
        <v>45950</v>
      </c>
      <c r="B19" s="11" t="s">
        <v>5</v>
      </c>
      <c r="C19" s="11" t="s">
        <v>590</v>
      </c>
      <c r="D19" s="11" t="s">
        <v>146</v>
      </c>
      <c r="E19" s="11" t="s">
        <v>703</v>
      </c>
      <c r="F19" s="11" t="s">
        <v>708</v>
      </c>
      <c r="G19" s="11" t="s">
        <v>591</v>
      </c>
      <c r="H19" s="11">
        <v>1006</v>
      </c>
      <c r="I19" s="11">
        <v>1006</v>
      </c>
      <c r="J19" s="11">
        <v>400</v>
      </c>
      <c r="K19" s="11" t="s">
        <v>593</v>
      </c>
      <c r="L19" s="11" t="s">
        <v>474</v>
      </c>
      <c r="M19" s="11" t="s">
        <v>149</v>
      </c>
      <c r="N19" s="11" t="s">
        <v>592</v>
      </c>
      <c r="O19" s="11">
        <v>1</v>
      </c>
      <c r="P19" s="11"/>
      <c r="Q19" s="11">
        <v>400</v>
      </c>
      <c r="R19" s="11">
        <v>606</v>
      </c>
      <c r="S19" s="68" t="str">
        <f>IF(SUMPRODUCT((e_makara[[#Headers],[MAKARA NO]]=e_1[[#This Row],[Makara Numarası]])*(e_makara[[#Headers],[Kalan]]&lt;0))&gt;0,
    "HATA VAR",
    "")</f>
        <v/>
      </c>
      <c r="T19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0" spans="1:20" x14ac:dyDescent="0.3">
      <c r="A20" s="17">
        <v>45950</v>
      </c>
      <c r="B20" s="11" t="s">
        <v>5</v>
      </c>
      <c r="C20" s="11" t="s">
        <v>594</v>
      </c>
      <c r="D20" s="11" t="s">
        <v>146</v>
      </c>
      <c r="E20" s="11" t="s">
        <v>156</v>
      </c>
      <c r="F20" s="11" t="s">
        <v>708</v>
      </c>
      <c r="G20" s="11" t="s">
        <v>591</v>
      </c>
      <c r="H20" s="11">
        <v>400</v>
      </c>
      <c r="I20" s="11">
        <v>400</v>
      </c>
      <c r="J20" s="11">
        <v>0</v>
      </c>
      <c r="K20" s="11" t="s">
        <v>149</v>
      </c>
      <c r="L20" s="11" t="s">
        <v>150</v>
      </c>
      <c r="M20" s="11" t="s">
        <v>689</v>
      </c>
      <c r="N20" s="11" t="s">
        <v>595</v>
      </c>
      <c r="O20" s="11">
        <v>1</v>
      </c>
      <c r="P20" s="11" t="s">
        <v>689</v>
      </c>
      <c r="Q20" s="11">
        <v>0</v>
      </c>
      <c r="R20" s="11">
        <v>400</v>
      </c>
      <c r="S20" s="68" t="str">
        <f>IF(SUMPRODUCT((e_makara[[#Headers],[MAKARA NO]]=e_1[[#This Row],[Makara Numarası]])*(e_makara[[#Headers],[Kalan]]&lt;0))&gt;0,
    "HATA VAR",
    "")</f>
        <v/>
      </c>
      <c r="T20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1" spans="1:20" x14ac:dyDescent="0.3">
      <c r="A21" s="17">
        <v>45950</v>
      </c>
      <c r="B21" s="11" t="s">
        <v>5</v>
      </c>
      <c r="C21" s="11" t="s">
        <v>594</v>
      </c>
      <c r="D21" s="11" t="s">
        <v>146</v>
      </c>
      <c r="E21" s="11" t="s">
        <v>156</v>
      </c>
      <c r="F21" s="11" t="s">
        <v>708</v>
      </c>
      <c r="G21" s="11" t="s">
        <v>596</v>
      </c>
      <c r="H21" s="11">
        <v>1003</v>
      </c>
      <c r="I21" s="11">
        <v>1003</v>
      </c>
      <c r="J21" s="11">
        <v>0</v>
      </c>
      <c r="K21" s="11" t="s">
        <v>149</v>
      </c>
      <c r="L21" s="11" t="s">
        <v>595</v>
      </c>
      <c r="M21" s="11" t="s">
        <v>690</v>
      </c>
      <c r="N21" s="11" t="s">
        <v>597</v>
      </c>
      <c r="O21" s="11">
        <v>1</v>
      </c>
      <c r="P21" s="11" t="s">
        <v>690</v>
      </c>
      <c r="Q21" s="11"/>
      <c r="R21" s="11">
        <v>1003</v>
      </c>
      <c r="S21" s="68" t="str">
        <f>IF(SUMPRODUCT((e_makara[[#Headers],[MAKARA NO]]=e_1[[#This Row],[Makara Numarası]])*(e_makara[[#Headers],[Kalan]]&lt;0))&gt;0,
    "HATA VAR",
    "")</f>
        <v/>
      </c>
      <c r="T21" s="68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22" spans="1:20" x14ac:dyDescent="0.3">
      <c r="A22" s="17">
        <v>45950</v>
      </c>
      <c r="B22" s="11" t="s">
        <v>5</v>
      </c>
      <c r="C22" s="11" t="s">
        <v>594</v>
      </c>
      <c r="D22" s="11" t="s">
        <v>146</v>
      </c>
      <c r="E22" s="11" t="s">
        <v>172</v>
      </c>
      <c r="F22" s="11" t="s">
        <v>708</v>
      </c>
      <c r="G22" s="11" t="s">
        <v>598</v>
      </c>
      <c r="H22" s="11">
        <v>989</v>
      </c>
      <c r="I22" s="11">
        <v>1001</v>
      </c>
      <c r="J22" s="11">
        <v>878</v>
      </c>
      <c r="K22" s="11" t="s">
        <v>149</v>
      </c>
      <c r="L22" s="11" t="s">
        <v>597</v>
      </c>
      <c r="M22" s="11" t="s">
        <v>158</v>
      </c>
      <c r="N22" s="11" t="s">
        <v>173</v>
      </c>
      <c r="O22" s="11">
        <v>1</v>
      </c>
      <c r="P22" s="11"/>
      <c r="Q22" s="11">
        <v>878</v>
      </c>
      <c r="R22" s="11">
        <v>129</v>
      </c>
      <c r="S22" s="68" t="str">
        <f>IF(SUMPRODUCT((e_makara[[#Headers],[MAKARA NO]]=e_1[[#This Row],[Makara Numarası]])*(e_makara[[#Headers],[Kalan]]&lt;0))&gt;0,
    "HATA VAR",
    "")</f>
        <v/>
      </c>
      <c r="T22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3" spans="1:20" x14ac:dyDescent="0.3">
      <c r="A23" s="17">
        <v>45950</v>
      </c>
      <c r="B23" s="11" t="s">
        <v>5</v>
      </c>
      <c r="C23" s="11" t="s">
        <v>599</v>
      </c>
      <c r="D23" s="11" t="s">
        <v>172</v>
      </c>
      <c r="E23" s="11" t="s">
        <v>602</v>
      </c>
      <c r="F23" s="11" t="s">
        <v>708</v>
      </c>
      <c r="G23" s="11" t="s">
        <v>598</v>
      </c>
      <c r="H23" s="11">
        <v>878</v>
      </c>
      <c r="I23" s="11">
        <v>878</v>
      </c>
      <c r="J23" s="11">
        <v>500</v>
      </c>
      <c r="K23" s="11" t="s">
        <v>158</v>
      </c>
      <c r="L23" s="11" t="s">
        <v>173</v>
      </c>
      <c r="M23" s="11" t="s">
        <v>169</v>
      </c>
      <c r="N23" s="11" t="s">
        <v>600</v>
      </c>
      <c r="O23" s="11">
        <v>1</v>
      </c>
      <c r="P23" s="11"/>
      <c r="Q23" s="11">
        <v>500</v>
      </c>
      <c r="R23" s="11">
        <v>378</v>
      </c>
      <c r="S23" s="68" t="str">
        <f>IF(SUMPRODUCT((e_makara[[#Headers],[MAKARA NO]]=e_1[[#This Row],[Makara Numarası]])*(e_makara[[#Headers],[Kalan]]&lt;0))&gt;0,
    "HATA VAR",
    "")</f>
        <v/>
      </c>
      <c r="T2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4" spans="1:20" x14ac:dyDescent="0.3">
      <c r="A24" s="17">
        <v>45950</v>
      </c>
      <c r="B24" s="11" t="s">
        <v>5</v>
      </c>
      <c r="C24" s="11" t="s">
        <v>601</v>
      </c>
      <c r="D24" s="11" t="s">
        <v>602</v>
      </c>
      <c r="E24" s="11" t="s">
        <v>161</v>
      </c>
      <c r="F24" s="11" t="s">
        <v>708</v>
      </c>
      <c r="G24" s="11" t="s">
        <v>598</v>
      </c>
      <c r="H24" s="11">
        <v>500</v>
      </c>
      <c r="I24" s="11">
        <v>500</v>
      </c>
      <c r="J24" s="11">
        <v>0</v>
      </c>
      <c r="K24" s="11" t="s">
        <v>169</v>
      </c>
      <c r="L24" s="11" t="s">
        <v>600</v>
      </c>
      <c r="M24" s="11" t="s">
        <v>691</v>
      </c>
      <c r="N24" s="11" t="s">
        <v>603</v>
      </c>
      <c r="O24" s="11">
        <v>1</v>
      </c>
      <c r="P24" s="11" t="s">
        <v>691</v>
      </c>
      <c r="Q24" s="11">
        <v>0</v>
      </c>
      <c r="R24" s="11">
        <v>500</v>
      </c>
      <c r="S24" s="68" t="str">
        <f>IF(SUMPRODUCT((e_makara[[#Headers],[MAKARA NO]]=e_1[[#This Row],[Makara Numarası]])*(e_makara[[#Headers],[Kalan]]&lt;0))&gt;0,
    "HATA VAR",
    "")</f>
        <v/>
      </c>
      <c r="T2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5" spans="1:20" x14ac:dyDescent="0.3">
      <c r="A25" s="17">
        <v>45950</v>
      </c>
      <c r="B25" s="11" t="s">
        <v>5</v>
      </c>
      <c r="C25" s="11" t="s">
        <v>601</v>
      </c>
      <c r="D25" s="11" t="s">
        <v>704</v>
      </c>
      <c r="E25" s="11" t="s">
        <v>161</v>
      </c>
      <c r="F25" s="11" t="s">
        <v>708</v>
      </c>
      <c r="G25" s="11" t="s">
        <v>604</v>
      </c>
      <c r="H25" s="11">
        <v>999</v>
      </c>
      <c r="I25" s="11">
        <v>1000</v>
      </c>
      <c r="J25" s="11">
        <v>712</v>
      </c>
      <c r="K25" s="11" t="s">
        <v>605</v>
      </c>
      <c r="L25" s="11" t="s">
        <v>603</v>
      </c>
      <c r="M25" s="11" t="s">
        <v>165</v>
      </c>
      <c r="N25" s="11" t="s">
        <v>166</v>
      </c>
      <c r="O25" s="11">
        <v>1</v>
      </c>
      <c r="P25" s="11"/>
      <c r="Q25" s="11">
        <v>712</v>
      </c>
      <c r="R25" s="11">
        <v>287</v>
      </c>
      <c r="S25" s="68" t="str">
        <f>IF(SUMPRODUCT((e_makara[[#Headers],[MAKARA NO]]=e_1[[#This Row],[Makara Numarası]])*(e_makara[[#Headers],[Kalan]]&lt;0))&gt;0,
    "HATA VAR",
    "")</f>
        <v/>
      </c>
      <c r="T2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6" spans="1:20" x14ac:dyDescent="0.3">
      <c r="A26" s="17">
        <v>45950</v>
      </c>
      <c r="B26" s="11" t="s">
        <v>5</v>
      </c>
      <c r="C26" s="11" t="s">
        <v>606</v>
      </c>
      <c r="D26" s="11" t="s">
        <v>161</v>
      </c>
      <c r="E26" s="11" t="s">
        <v>160</v>
      </c>
      <c r="F26" s="11" t="s">
        <v>708</v>
      </c>
      <c r="G26" s="11" t="s">
        <v>604</v>
      </c>
      <c r="H26" s="11">
        <v>712</v>
      </c>
      <c r="I26" s="11">
        <v>712</v>
      </c>
      <c r="J26" s="11">
        <v>0</v>
      </c>
      <c r="K26" s="11" t="s">
        <v>165</v>
      </c>
      <c r="L26" s="11" t="s">
        <v>166</v>
      </c>
      <c r="M26" s="11" t="s">
        <v>163</v>
      </c>
      <c r="N26" s="11" t="s">
        <v>607</v>
      </c>
      <c r="O26" s="11">
        <v>1</v>
      </c>
      <c r="P26" s="11" t="s">
        <v>607</v>
      </c>
      <c r="Q26" s="11">
        <v>0</v>
      </c>
      <c r="R26" s="11">
        <v>712</v>
      </c>
      <c r="S26" s="68" t="str">
        <f>IF(SUMPRODUCT((e_makara[[#Headers],[MAKARA NO]]=e_1[[#This Row],[Makara Numarası]])*(e_makara[[#Headers],[Kalan]]&lt;0))&gt;0,
    "HATA VAR",
    "")</f>
        <v/>
      </c>
      <c r="T26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7" spans="1:20" x14ac:dyDescent="0.3">
      <c r="A27" s="17">
        <v>45951</v>
      </c>
      <c r="B27" s="11" t="s">
        <v>5</v>
      </c>
      <c r="C27" s="11" t="s">
        <v>606</v>
      </c>
      <c r="D27" s="11" t="s">
        <v>161</v>
      </c>
      <c r="E27" s="11" t="s">
        <v>160</v>
      </c>
      <c r="F27" s="11" t="s">
        <v>708</v>
      </c>
      <c r="G27" s="11" t="s">
        <v>589</v>
      </c>
      <c r="H27" s="11">
        <v>434</v>
      </c>
      <c r="I27" s="11">
        <v>434</v>
      </c>
      <c r="J27" s="11">
        <v>324</v>
      </c>
      <c r="K27" s="11" t="s">
        <v>138</v>
      </c>
      <c r="L27" s="11" t="s">
        <v>607</v>
      </c>
      <c r="M27" s="11" t="s">
        <v>163</v>
      </c>
      <c r="N27" s="11" t="s">
        <v>164</v>
      </c>
      <c r="O27" s="11">
        <v>1</v>
      </c>
      <c r="P27" s="11"/>
      <c r="Q27" s="11">
        <v>324</v>
      </c>
      <c r="R27" s="11">
        <v>110</v>
      </c>
      <c r="S27" s="68" t="str">
        <f>IF(SUMPRODUCT((e_makara[[#Headers],[MAKARA NO]]=e_1[[#This Row],[Makara Numarası]])*(e_makara[[#Headers],[Kalan]]&lt;0))&gt;0,
    "HATA VAR",
    "")</f>
        <v/>
      </c>
      <c r="T2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8" spans="1:20" x14ac:dyDescent="0.3">
      <c r="A28" s="17">
        <v>45952</v>
      </c>
      <c r="B28" s="11" t="s">
        <v>5</v>
      </c>
      <c r="C28" s="11" t="s">
        <v>608</v>
      </c>
      <c r="D28" s="11" t="s">
        <v>609</v>
      </c>
      <c r="E28" s="11" t="s">
        <v>160</v>
      </c>
      <c r="F28" s="11" t="s">
        <v>559</v>
      </c>
      <c r="G28" s="11" t="s">
        <v>610</v>
      </c>
      <c r="H28" s="11">
        <v>1015</v>
      </c>
      <c r="I28" s="11">
        <v>1015</v>
      </c>
      <c r="J28" s="11">
        <v>736</v>
      </c>
      <c r="K28" s="11" t="s">
        <v>176</v>
      </c>
      <c r="L28" s="11" t="s">
        <v>164</v>
      </c>
      <c r="M28" s="11" t="s">
        <v>163</v>
      </c>
      <c r="N28" s="11" t="s">
        <v>177</v>
      </c>
      <c r="O28" s="11">
        <v>1</v>
      </c>
      <c r="P28" s="11"/>
      <c r="Q28" s="11">
        <v>736</v>
      </c>
      <c r="R28" s="11">
        <v>289</v>
      </c>
      <c r="S28" s="68" t="str">
        <f>IF(SUMPRODUCT((e_makara[[#Headers],[MAKARA NO]]=e_1[[#This Row],[Makara Numarası]])*(e_makara[[#Headers],[Kalan]]&lt;0))&gt;0,
    "HATA VAR",
    "")</f>
        <v/>
      </c>
      <c r="T28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29" spans="1:20" x14ac:dyDescent="0.3">
      <c r="A29" s="17">
        <v>45952</v>
      </c>
      <c r="B29" s="11" t="s">
        <v>5</v>
      </c>
      <c r="C29" s="11" t="s">
        <v>611</v>
      </c>
      <c r="D29" s="11" t="s">
        <v>609</v>
      </c>
      <c r="E29" s="11" t="s">
        <v>347</v>
      </c>
      <c r="F29" s="11" t="s">
        <v>559</v>
      </c>
      <c r="G29" s="11" t="s">
        <v>610</v>
      </c>
      <c r="H29" s="11">
        <v>736</v>
      </c>
      <c r="I29" s="11">
        <v>736</v>
      </c>
      <c r="J29" s="11">
        <v>621</v>
      </c>
      <c r="K29" s="11" t="s">
        <v>176</v>
      </c>
      <c r="L29" s="11" t="s">
        <v>177</v>
      </c>
      <c r="M29" s="11" t="s">
        <v>179</v>
      </c>
      <c r="N29" s="11" t="s">
        <v>6</v>
      </c>
      <c r="O29" s="11">
        <v>1</v>
      </c>
      <c r="P29" s="11"/>
      <c r="Q29" s="11">
        <v>621</v>
      </c>
      <c r="R29" s="11">
        <v>115</v>
      </c>
      <c r="S29" s="68" t="str">
        <f>IF(SUMPRODUCT((e_makara[[#Headers],[MAKARA NO]]=e_1[[#This Row],[Makara Numarası]])*(e_makara[[#Headers],[Kalan]]&lt;0))&gt;0,
    "HATA VAR",
    "")</f>
        <v/>
      </c>
      <c r="T29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0" spans="1:20" x14ac:dyDescent="0.3">
      <c r="A30" s="17">
        <v>45954</v>
      </c>
      <c r="B30" s="11" t="s">
        <v>5</v>
      </c>
      <c r="C30" s="11" t="s">
        <v>178</v>
      </c>
      <c r="D30" s="11" t="s">
        <v>347</v>
      </c>
      <c r="E30" s="11" t="s">
        <v>180</v>
      </c>
      <c r="F30" s="11" t="s">
        <v>559</v>
      </c>
      <c r="G30" s="11" t="s">
        <v>612</v>
      </c>
      <c r="H30" s="11">
        <v>232</v>
      </c>
      <c r="I30" s="11">
        <v>232</v>
      </c>
      <c r="J30" s="11">
        <v>139</v>
      </c>
      <c r="K30" s="11" t="s">
        <v>179</v>
      </c>
      <c r="L30" s="11" t="s">
        <v>6</v>
      </c>
      <c r="M30" s="11" t="s">
        <v>180</v>
      </c>
      <c r="N30" s="11" t="s">
        <v>181</v>
      </c>
      <c r="O30" s="11">
        <v>1</v>
      </c>
      <c r="P30" s="11"/>
      <c r="Q30" s="11">
        <v>139</v>
      </c>
      <c r="R30" s="11">
        <v>93</v>
      </c>
      <c r="S30" s="68" t="str">
        <f>IF(SUMPRODUCT((e_makara[[#Headers],[MAKARA NO]]=e_1[[#This Row],[Makara Numarası]])*(e_makara[[#Headers],[Kalan]]&lt;0))&gt;0,
    "HATA VAR",
    "")</f>
        <v/>
      </c>
      <c r="T30" s="68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31" spans="1:20" x14ac:dyDescent="0.3">
      <c r="A31" s="17">
        <v>45954</v>
      </c>
      <c r="B31" s="11" t="s">
        <v>5</v>
      </c>
      <c r="C31" s="11" t="s">
        <v>182</v>
      </c>
      <c r="D31" s="11" t="s">
        <v>180</v>
      </c>
      <c r="E31" s="11" t="s">
        <v>183</v>
      </c>
      <c r="F31" s="11" t="s">
        <v>559</v>
      </c>
      <c r="G31" s="11" t="s">
        <v>613</v>
      </c>
      <c r="H31" s="11">
        <v>75</v>
      </c>
      <c r="I31" s="11">
        <v>75</v>
      </c>
      <c r="J31" s="11">
        <v>0</v>
      </c>
      <c r="K31" s="11" t="s">
        <v>180</v>
      </c>
      <c r="L31" s="11" t="s">
        <v>181</v>
      </c>
      <c r="M31" s="11" t="s">
        <v>692</v>
      </c>
      <c r="N31" s="11" t="s">
        <v>825</v>
      </c>
      <c r="O31" s="11">
        <v>1</v>
      </c>
      <c r="P31" s="11" t="s">
        <v>692</v>
      </c>
      <c r="Q31" s="11">
        <v>0</v>
      </c>
      <c r="R31" s="11">
        <v>75</v>
      </c>
      <c r="S31" s="68" t="str">
        <f>IF(SUMPRODUCT((e_makara[[#Headers],[MAKARA NO]]=e_1[[#This Row],[Makara Numarası]])*(e_makara[[#Headers],[Kalan]]&lt;0))&gt;0,
    "HATA VAR",
    "")</f>
        <v/>
      </c>
      <c r="T31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2" spans="1:20" x14ac:dyDescent="0.3">
      <c r="A32" s="17">
        <v>45954</v>
      </c>
      <c r="B32" s="11" t="s">
        <v>5</v>
      </c>
      <c r="C32" s="11" t="s">
        <v>182</v>
      </c>
      <c r="D32" s="11" t="s">
        <v>180</v>
      </c>
      <c r="E32" s="11" t="s">
        <v>183</v>
      </c>
      <c r="F32" s="11" t="s">
        <v>559</v>
      </c>
      <c r="G32" s="11" t="s">
        <v>574</v>
      </c>
      <c r="H32" s="11">
        <v>225</v>
      </c>
      <c r="I32" s="11">
        <v>225</v>
      </c>
      <c r="J32" s="11">
        <v>0</v>
      </c>
      <c r="K32" s="11" t="s">
        <v>180</v>
      </c>
      <c r="L32" s="11" t="s">
        <v>614</v>
      </c>
      <c r="M32" s="11" t="s">
        <v>183</v>
      </c>
      <c r="N32" s="11" t="s">
        <v>184</v>
      </c>
      <c r="O32" s="11">
        <v>1</v>
      </c>
      <c r="P32" s="11"/>
      <c r="Q32" s="11">
        <v>0</v>
      </c>
      <c r="R32" s="11">
        <v>225</v>
      </c>
      <c r="S32" s="68" t="str">
        <f>IF(SUMPRODUCT((e_makara[[#Headers],[MAKARA NO]]=e_1[[#This Row],[Makara Numarası]])*(e_makara[[#Headers],[Kalan]]&lt;0))&gt;0,
    "HATA VAR",
    "")</f>
        <v/>
      </c>
      <c r="T32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3" spans="1:20" x14ac:dyDescent="0.3">
      <c r="A33" s="17">
        <v>45954</v>
      </c>
      <c r="B33" s="11" t="s">
        <v>5</v>
      </c>
      <c r="C33" s="11" t="s">
        <v>185</v>
      </c>
      <c r="D33" s="11" t="s">
        <v>183</v>
      </c>
      <c r="E33" s="11" t="s">
        <v>186</v>
      </c>
      <c r="F33" s="11" t="s">
        <v>559</v>
      </c>
      <c r="G33" s="11" t="s">
        <v>615</v>
      </c>
      <c r="H33" s="11">
        <v>355</v>
      </c>
      <c r="I33" s="11">
        <v>355</v>
      </c>
      <c r="J33" s="11">
        <v>0</v>
      </c>
      <c r="K33" s="11" t="s">
        <v>183</v>
      </c>
      <c r="L33" s="11" t="s">
        <v>184</v>
      </c>
      <c r="M33" s="11" t="s">
        <v>186</v>
      </c>
      <c r="N33" s="11" t="s">
        <v>187</v>
      </c>
      <c r="O33" s="11">
        <v>1</v>
      </c>
      <c r="P33" s="11"/>
      <c r="Q33" s="11">
        <v>0</v>
      </c>
      <c r="R33" s="11">
        <v>355</v>
      </c>
      <c r="S33" s="68" t="str">
        <f>IF(SUMPRODUCT((e_makara[[#Headers],[MAKARA NO]]=e_1[[#This Row],[Makara Numarası]])*(e_makara[[#Headers],[Kalan]]&lt;0))&gt;0,
    "HATA VAR",
    "")</f>
        <v/>
      </c>
      <c r="T3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4" spans="1:20" x14ac:dyDescent="0.3">
      <c r="A34" s="17">
        <v>45954</v>
      </c>
      <c r="B34" s="11" t="s">
        <v>5</v>
      </c>
      <c r="C34" s="11" t="s">
        <v>616</v>
      </c>
      <c r="D34" s="11" t="s">
        <v>617</v>
      </c>
      <c r="E34" s="11" t="s">
        <v>118</v>
      </c>
      <c r="F34" s="11" t="s">
        <v>708</v>
      </c>
      <c r="G34" s="11" t="s">
        <v>618</v>
      </c>
      <c r="H34" s="11">
        <v>1000</v>
      </c>
      <c r="I34" s="11">
        <v>1000</v>
      </c>
      <c r="J34" s="11">
        <v>712</v>
      </c>
      <c r="K34" s="11" t="s">
        <v>617</v>
      </c>
      <c r="L34" s="11" t="s">
        <v>187</v>
      </c>
      <c r="M34" s="11" t="s">
        <v>118</v>
      </c>
      <c r="N34" s="11" t="s">
        <v>189</v>
      </c>
      <c r="O34" s="11">
        <v>1</v>
      </c>
      <c r="P34" s="11"/>
      <c r="Q34" s="11">
        <v>712</v>
      </c>
      <c r="R34" s="11">
        <v>288</v>
      </c>
      <c r="S34" s="68" t="str">
        <f>IF(SUMPRODUCT((e_makara[[#Headers],[MAKARA NO]]=e_1[[#This Row],[Makara Numarası]])*(e_makara[[#Headers],[Kalan]]&lt;0))&gt;0,
    "HATA VAR",
    "")</f>
        <v/>
      </c>
      <c r="T3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5" spans="1:20" x14ac:dyDescent="0.3">
      <c r="A35" s="17">
        <v>45954</v>
      </c>
      <c r="B35" s="11" t="s">
        <v>5</v>
      </c>
      <c r="C35" s="11" t="s">
        <v>190</v>
      </c>
      <c r="D35" s="11" t="s">
        <v>118</v>
      </c>
      <c r="E35" s="11" t="s">
        <v>191</v>
      </c>
      <c r="F35" s="11" t="s">
        <v>559</v>
      </c>
      <c r="G35" s="11" t="s">
        <v>610</v>
      </c>
      <c r="H35" s="11">
        <v>621</v>
      </c>
      <c r="I35" s="11">
        <v>621</v>
      </c>
      <c r="J35" s="11">
        <v>270</v>
      </c>
      <c r="K35" s="11" t="s">
        <v>118</v>
      </c>
      <c r="L35" s="11" t="s">
        <v>189</v>
      </c>
      <c r="M35" s="11" t="s">
        <v>191</v>
      </c>
      <c r="N35" s="11" t="s">
        <v>192</v>
      </c>
      <c r="O35" s="11">
        <v>1</v>
      </c>
      <c r="P35" s="11"/>
      <c r="Q35" s="11">
        <v>270</v>
      </c>
      <c r="R35" s="11">
        <v>341</v>
      </c>
      <c r="S35" s="68" t="str">
        <f>IF(SUMPRODUCT((e_makara[[#Headers],[MAKARA NO]]=e_1[[#This Row],[Makara Numarası]])*(e_makara[[#Headers],[Kalan]]&lt;0))&gt;0,
    "HATA VAR",
    "")</f>
        <v/>
      </c>
      <c r="T3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6" spans="1:20" x14ac:dyDescent="0.3">
      <c r="A36" s="17">
        <v>45961</v>
      </c>
      <c r="B36" s="11" t="s">
        <v>3</v>
      </c>
      <c r="C36" s="11" t="s">
        <v>627</v>
      </c>
      <c r="D36" s="11" t="s">
        <v>195</v>
      </c>
      <c r="E36" s="11" t="s">
        <v>118</v>
      </c>
      <c r="F36" s="11" t="s">
        <v>559</v>
      </c>
      <c r="G36" s="11" t="s">
        <v>589</v>
      </c>
      <c r="H36" s="11">
        <v>324</v>
      </c>
      <c r="I36" s="11">
        <v>324</v>
      </c>
      <c r="J36" s="11">
        <v>230</v>
      </c>
      <c r="K36" s="11" t="s">
        <v>196</v>
      </c>
      <c r="L36" s="11" t="s">
        <v>197</v>
      </c>
      <c r="M36" s="11" t="s">
        <v>118</v>
      </c>
      <c r="N36" s="11" t="s">
        <v>122</v>
      </c>
      <c r="O36" s="11">
        <v>1</v>
      </c>
      <c r="P36" s="11"/>
      <c r="Q36" s="11">
        <v>230</v>
      </c>
      <c r="R36" s="11">
        <v>94</v>
      </c>
      <c r="S36" s="75" t="str">
        <f>IF(SUMPRODUCT((e_makara[[#Headers],[MAKARA NO]]=e_1[[#This Row],[Makara Numarası]])*(e_makara[[#Headers],[Kalan]]&lt;0))&gt;0,
    "HATA VAR",
    "")</f>
        <v/>
      </c>
      <c r="T36" s="75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37" spans="1:20" x14ac:dyDescent="0.3">
      <c r="A37" s="16">
        <v>45962</v>
      </c>
      <c r="B37" s="11" t="s">
        <v>7</v>
      </c>
      <c r="C37" s="11" t="s">
        <v>210</v>
      </c>
      <c r="D37" s="11" t="s">
        <v>354</v>
      </c>
      <c r="E37" s="11" t="s">
        <v>211</v>
      </c>
      <c r="F37" s="11" t="s">
        <v>559</v>
      </c>
      <c r="G37" s="11" t="s">
        <v>630</v>
      </c>
      <c r="H37" s="11">
        <v>610</v>
      </c>
      <c r="I37" s="11">
        <v>610</v>
      </c>
      <c r="J37" s="11">
        <v>536</v>
      </c>
      <c r="K37" s="11" t="s">
        <v>208</v>
      </c>
      <c r="L37" s="11" t="s">
        <v>209</v>
      </c>
      <c r="M37" s="11" t="s">
        <v>211</v>
      </c>
      <c r="N37" s="11" t="s">
        <v>212</v>
      </c>
      <c r="O37" s="11">
        <v>1</v>
      </c>
      <c r="P37" s="11"/>
      <c r="Q37" s="11">
        <v>536</v>
      </c>
      <c r="R37" s="11">
        <v>74</v>
      </c>
      <c r="S37" s="68" t="str">
        <f>IF(SUMPRODUCT((e_makara[[#Headers],[MAKARA NO]]=e_1[[#This Row],[Makara Numarası]])*(e_makara[[#Headers],[Kalan]]&lt;0))&gt;0,
    "HATA VAR",
    "")</f>
        <v/>
      </c>
      <c r="T3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8" spans="1:20" x14ac:dyDescent="0.3">
      <c r="A38" s="16">
        <v>45962</v>
      </c>
      <c r="B38" s="11" t="s">
        <v>7</v>
      </c>
      <c r="C38" s="11" t="s">
        <v>631</v>
      </c>
      <c r="D38" s="11" t="s">
        <v>211</v>
      </c>
      <c r="E38" s="11" t="s">
        <v>214</v>
      </c>
      <c r="F38" s="11" t="s">
        <v>559</v>
      </c>
      <c r="G38" s="11" t="s">
        <v>630</v>
      </c>
      <c r="H38" s="11">
        <v>536</v>
      </c>
      <c r="I38" s="11">
        <v>536</v>
      </c>
      <c r="J38" s="11">
        <v>270</v>
      </c>
      <c r="K38" s="11" t="s">
        <v>211</v>
      </c>
      <c r="L38" s="11" t="s">
        <v>212</v>
      </c>
      <c r="M38" s="11" t="s">
        <v>214</v>
      </c>
      <c r="N38" s="11" t="s">
        <v>215</v>
      </c>
      <c r="O38" s="11">
        <v>1</v>
      </c>
      <c r="P38" s="11"/>
      <c r="Q38" s="11">
        <v>270</v>
      </c>
      <c r="R38" s="11">
        <v>266</v>
      </c>
      <c r="S38" s="68" t="str">
        <f>IF(SUMPRODUCT((e_makara[[#Headers],[MAKARA NO]]=e_1[[#This Row],[Makara Numarası]])*(e_makara[[#Headers],[Kalan]]&lt;0))&gt;0,
    "HATA VAR",
    "")</f>
        <v/>
      </c>
      <c r="T38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39" spans="1:20" x14ac:dyDescent="0.3">
      <c r="A39" s="16">
        <v>45974</v>
      </c>
      <c r="B39" s="11" t="s">
        <v>7</v>
      </c>
      <c r="C39" s="11" t="s">
        <v>648</v>
      </c>
      <c r="D39" s="11" t="s">
        <v>229</v>
      </c>
      <c r="E39" s="11" t="s">
        <v>438</v>
      </c>
      <c r="F39" s="11" t="s">
        <v>559</v>
      </c>
      <c r="G39" s="11" t="s">
        <v>645</v>
      </c>
      <c r="H39" s="11">
        <v>298</v>
      </c>
      <c r="I39" s="11">
        <v>298</v>
      </c>
      <c r="J39" s="11">
        <v>146</v>
      </c>
      <c r="K39" s="11" t="s">
        <v>227</v>
      </c>
      <c r="L39" s="11" t="s">
        <v>8</v>
      </c>
      <c r="M39" s="11" t="s">
        <v>229</v>
      </c>
      <c r="N39" s="11" t="s">
        <v>231</v>
      </c>
      <c r="O39" s="11">
        <v>1</v>
      </c>
      <c r="P39" s="11"/>
      <c r="Q39" s="11">
        <v>146</v>
      </c>
      <c r="R39" s="11">
        <v>152</v>
      </c>
      <c r="S39" s="68" t="str">
        <f>IF(SUMPRODUCT((e_makara[[#Headers],[MAKARA NO]]=e_1[[#This Row],[Makara Numarası]])*(e_makara[[#Headers],[Kalan]]&lt;0))&gt;0,
    "HATA VAR",
    "")</f>
        <v/>
      </c>
      <c r="T39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0" spans="1:20" x14ac:dyDescent="0.3">
      <c r="A40" s="16">
        <v>45972</v>
      </c>
      <c r="B40" s="11" t="s">
        <v>7</v>
      </c>
      <c r="C40" s="11" t="s">
        <v>232</v>
      </c>
      <c r="D40" s="11" t="s">
        <v>233</v>
      </c>
      <c r="E40" s="11" t="s">
        <v>234</v>
      </c>
      <c r="F40" s="11" t="s">
        <v>559</v>
      </c>
      <c r="G40" s="11" t="s">
        <v>636</v>
      </c>
      <c r="H40" s="11">
        <v>496</v>
      </c>
      <c r="I40" s="11">
        <v>496</v>
      </c>
      <c r="J40" s="11">
        <v>0</v>
      </c>
      <c r="K40" s="11" t="s">
        <v>233</v>
      </c>
      <c r="L40" s="11" t="s">
        <v>235</v>
      </c>
      <c r="M40" s="11" t="s">
        <v>234</v>
      </c>
      <c r="N40" s="11" t="s">
        <v>637</v>
      </c>
      <c r="O40" s="11">
        <v>1</v>
      </c>
      <c r="P40" s="11" t="s">
        <v>637</v>
      </c>
      <c r="Q40" s="11">
        <v>0</v>
      </c>
      <c r="R40" s="11">
        <v>496</v>
      </c>
      <c r="S40" s="68" t="str">
        <f>IF(SUMPRODUCT((e_makara[[#Headers],[MAKARA NO]]=e_1[[#This Row],[Makara Numarası]])*(e_makara[[#Headers],[Kalan]]&lt;0))&gt;0,
    "HATA VAR",
    "")</f>
        <v/>
      </c>
      <c r="T40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1" spans="1:20" x14ac:dyDescent="0.3">
      <c r="A41" s="16">
        <v>45972</v>
      </c>
      <c r="B41" s="11" t="s">
        <v>7</v>
      </c>
      <c r="C41" s="11" t="s">
        <v>232</v>
      </c>
      <c r="D41" s="11" t="s">
        <v>233</v>
      </c>
      <c r="E41" s="11" t="s">
        <v>234</v>
      </c>
      <c r="F41" s="11" t="s">
        <v>559</v>
      </c>
      <c r="G41" s="11" t="s">
        <v>638</v>
      </c>
      <c r="H41" s="11">
        <v>1035</v>
      </c>
      <c r="I41" s="11">
        <v>1035</v>
      </c>
      <c r="J41" s="11">
        <v>987</v>
      </c>
      <c r="K41" s="11" t="s">
        <v>233</v>
      </c>
      <c r="L41" s="11" t="s">
        <v>637</v>
      </c>
      <c r="M41" s="11" t="s">
        <v>234</v>
      </c>
      <c r="N41" s="11" t="s">
        <v>236</v>
      </c>
      <c r="O41" s="11">
        <v>1</v>
      </c>
      <c r="P41" s="11" t="s">
        <v>639</v>
      </c>
      <c r="Q41" s="11">
        <v>987</v>
      </c>
      <c r="R41" s="11">
        <v>48</v>
      </c>
      <c r="S41" s="68" t="str">
        <f>IF(SUMPRODUCT((e_makara[[#Headers],[MAKARA NO]]=e_1[[#This Row],[Makara Numarası]])*(e_makara[[#Headers],[Kalan]]&lt;0))&gt;0,
    "HATA VAR",
    "")</f>
        <v/>
      </c>
      <c r="T41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2" spans="1:20" x14ac:dyDescent="0.3">
      <c r="A42" s="16">
        <v>45972</v>
      </c>
      <c r="B42" s="11" t="s">
        <v>7</v>
      </c>
      <c r="C42" s="11" t="s">
        <v>241</v>
      </c>
      <c r="D42" s="11" t="s">
        <v>234</v>
      </c>
      <c r="E42" s="11" t="s">
        <v>242</v>
      </c>
      <c r="F42" s="11" t="s">
        <v>559</v>
      </c>
      <c r="G42" s="11" t="s">
        <v>638</v>
      </c>
      <c r="H42" s="11">
        <v>987</v>
      </c>
      <c r="I42" s="11">
        <v>987</v>
      </c>
      <c r="J42" s="11">
        <v>0</v>
      </c>
      <c r="K42" s="11" t="s">
        <v>234</v>
      </c>
      <c r="L42" s="11" t="s">
        <v>236</v>
      </c>
      <c r="M42" s="11" t="s">
        <v>242</v>
      </c>
      <c r="N42" s="11" t="s">
        <v>245</v>
      </c>
      <c r="O42" s="11">
        <v>1</v>
      </c>
      <c r="P42" s="11"/>
      <c r="Q42" s="11">
        <v>0</v>
      </c>
      <c r="R42" s="11">
        <v>987</v>
      </c>
      <c r="S42" s="68" t="str">
        <f>IF(SUMPRODUCT((e_makara[[#Headers],[MAKARA NO]]=e_1[[#This Row],[Makara Numarası]])*(e_makara[[#Headers],[Kalan]]&lt;0))&gt;0,
    "HATA VAR",
    "")</f>
        <v/>
      </c>
      <c r="T42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3" spans="1:20" x14ac:dyDescent="0.3">
      <c r="A43" s="18">
        <v>45973</v>
      </c>
      <c r="B43" s="11" t="s">
        <v>7</v>
      </c>
      <c r="C43" s="11" t="s">
        <v>241</v>
      </c>
      <c r="D43" s="11" t="s">
        <v>234</v>
      </c>
      <c r="E43" s="11" t="s">
        <v>242</v>
      </c>
      <c r="F43" s="11" t="s">
        <v>559</v>
      </c>
      <c r="G43" s="11" t="s">
        <v>640</v>
      </c>
      <c r="H43" s="11">
        <v>1001</v>
      </c>
      <c r="I43" s="11">
        <v>1001</v>
      </c>
      <c r="J43" s="11">
        <v>776</v>
      </c>
      <c r="K43" s="11" t="s">
        <v>234</v>
      </c>
      <c r="L43" s="11" t="s">
        <v>245</v>
      </c>
      <c r="M43" s="11" t="s">
        <v>242</v>
      </c>
      <c r="N43" s="11" t="s">
        <v>244</v>
      </c>
      <c r="O43" s="11">
        <v>1</v>
      </c>
      <c r="P43" s="11"/>
      <c r="Q43" s="11">
        <v>776</v>
      </c>
      <c r="R43" s="11">
        <v>225</v>
      </c>
      <c r="S43" s="68" t="str">
        <f>IF(SUMPRODUCT((e_makara[[#Headers],[MAKARA NO]]=e_1[[#This Row],[Makara Numarası]])*(e_makara[[#Headers],[Kalan]]&lt;0))&gt;0,
    "HATA VAR",
    "")</f>
        <v/>
      </c>
      <c r="T4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4" spans="1:20" x14ac:dyDescent="0.3">
      <c r="A44" s="18">
        <v>45973</v>
      </c>
      <c r="B44" s="11" t="s">
        <v>7</v>
      </c>
      <c r="C44" s="11" t="s">
        <v>641</v>
      </c>
      <c r="D44" s="11" t="s">
        <v>242</v>
      </c>
      <c r="E44" s="11" t="s">
        <v>373</v>
      </c>
      <c r="F44" s="11" t="s">
        <v>559</v>
      </c>
      <c r="G44" s="11" t="s">
        <v>642</v>
      </c>
      <c r="H44" s="11">
        <v>1007</v>
      </c>
      <c r="I44" s="11">
        <v>1007</v>
      </c>
      <c r="J44" s="11">
        <v>813</v>
      </c>
      <c r="K44" s="11" t="s">
        <v>373</v>
      </c>
      <c r="L44" s="11" t="s">
        <v>244</v>
      </c>
      <c r="M44" s="11" t="s">
        <v>242</v>
      </c>
      <c r="N44" s="11" t="s">
        <v>643</v>
      </c>
      <c r="O44" s="11">
        <v>1</v>
      </c>
      <c r="P44" s="11"/>
      <c r="Q44" s="11">
        <v>813</v>
      </c>
      <c r="R44" s="11">
        <v>194</v>
      </c>
      <c r="S44" s="68" t="str">
        <f>IF(SUMPRODUCT((e_makara[[#Headers],[MAKARA NO]]=e_1[[#This Row],[Makara Numarası]])*(e_makara[[#Headers],[Kalan]]&lt;0))&gt;0,
    "HATA VAR",
    "")</f>
        <v/>
      </c>
      <c r="T4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5" spans="1:20" x14ac:dyDescent="0.3">
      <c r="A45" s="18">
        <v>45973</v>
      </c>
      <c r="B45" s="11" t="s">
        <v>7</v>
      </c>
      <c r="C45" s="11" t="s">
        <v>644</v>
      </c>
      <c r="D45" s="11" t="s">
        <v>375</v>
      </c>
      <c r="E45" s="11" t="s">
        <v>247</v>
      </c>
      <c r="F45" s="11" t="s">
        <v>559</v>
      </c>
      <c r="G45" s="11" t="s">
        <v>645</v>
      </c>
      <c r="H45" s="11">
        <v>1002</v>
      </c>
      <c r="I45" s="11">
        <v>1002</v>
      </c>
      <c r="J45" s="11">
        <v>903</v>
      </c>
      <c r="K45" s="11" t="s">
        <v>375</v>
      </c>
      <c r="L45" s="11" t="s">
        <v>646</v>
      </c>
      <c r="M45" s="11" t="s">
        <v>247</v>
      </c>
      <c r="N45" s="11" t="s">
        <v>248</v>
      </c>
      <c r="O45" s="11">
        <v>1</v>
      </c>
      <c r="P45" s="11"/>
      <c r="Q45" s="11">
        <v>903</v>
      </c>
      <c r="R45" s="11">
        <v>99</v>
      </c>
      <c r="S45" s="68" t="str">
        <f>IF(SUMPRODUCT((e_makara[[#Headers],[MAKARA NO]]=e_1[[#This Row],[Makara Numarası]])*(e_makara[[#Headers],[Kalan]]&lt;0))&gt;0,
    "HATA VAR",
    "")</f>
        <v/>
      </c>
      <c r="T4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6" spans="1:20" x14ac:dyDescent="0.3">
      <c r="A46" s="18">
        <v>45973</v>
      </c>
      <c r="B46" s="11" t="s">
        <v>7</v>
      </c>
      <c r="C46" s="11" t="s">
        <v>647</v>
      </c>
      <c r="D46" s="11" t="s">
        <v>250</v>
      </c>
      <c r="E46" s="11" t="s">
        <v>256</v>
      </c>
      <c r="F46" s="11" t="s">
        <v>559</v>
      </c>
      <c r="G46" s="11" t="s">
        <v>645</v>
      </c>
      <c r="H46" s="11">
        <v>903</v>
      </c>
      <c r="I46" s="11">
        <v>903</v>
      </c>
      <c r="J46" s="11">
        <v>569</v>
      </c>
      <c r="K46" s="11" t="s">
        <v>250</v>
      </c>
      <c r="L46" s="11" t="s">
        <v>251</v>
      </c>
      <c r="M46" s="11" t="s">
        <v>256</v>
      </c>
      <c r="N46" s="11" t="s">
        <v>257</v>
      </c>
      <c r="O46" s="11">
        <v>1</v>
      </c>
      <c r="P46" s="11"/>
      <c r="Q46" s="11">
        <v>569</v>
      </c>
      <c r="R46" s="11">
        <v>334</v>
      </c>
      <c r="S46" s="68" t="str">
        <f>IF(SUMPRODUCT((e_makara[[#Headers],[MAKARA NO]]=e_1[[#This Row],[Makara Numarası]])*(e_makara[[#Headers],[Kalan]]&lt;0))&gt;0,
    "HATA VAR",
    "")</f>
        <v/>
      </c>
      <c r="T46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7" spans="1:20" x14ac:dyDescent="0.3">
      <c r="A47" s="16">
        <v>45975</v>
      </c>
      <c r="B47" s="11" t="s">
        <v>2</v>
      </c>
      <c r="C47" s="11" t="s">
        <v>270</v>
      </c>
      <c r="D47" s="11" t="s">
        <v>163</v>
      </c>
      <c r="E47" s="11" t="s">
        <v>163</v>
      </c>
      <c r="F47" s="11" t="s">
        <v>708</v>
      </c>
      <c r="G47" s="11" t="s">
        <v>649</v>
      </c>
      <c r="H47" s="11">
        <v>200</v>
      </c>
      <c r="I47" s="11">
        <v>200</v>
      </c>
      <c r="J47" s="11">
        <v>0</v>
      </c>
      <c r="K47" s="11" t="s">
        <v>163</v>
      </c>
      <c r="L47" s="11" t="s">
        <v>257</v>
      </c>
      <c r="M47" s="11" t="s">
        <v>163</v>
      </c>
      <c r="N47" s="11" t="s">
        <v>650</v>
      </c>
      <c r="O47" s="11">
        <v>1</v>
      </c>
      <c r="P47" s="11" t="s">
        <v>650</v>
      </c>
      <c r="Q47" s="11">
        <v>0</v>
      </c>
      <c r="R47" s="11">
        <v>200</v>
      </c>
      <c r="S47" s="68" t="str">
        <f>IF(SUMPRODUCT((e_makara[[#Headers],[MAKARA NO]]=e_1[[#This Row],[Makara Numarası]])*(e_makara[[#Headers],[Kalan]]&lt;0))&gt;0,
    "HATA VAR",
    "")</f>
        <v/>
      </c>
      <c r="T4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8" spans="1:20" x14ac:dyDescent="0.3">
      <c r="A48" s="16">
        <v>45978</v>
      </c>
      <c r="B48" s="11" t="s">
        <v>2</v>
      </c>
      <c r="C48" s="11" t="s">
        <v>270</v>
      </c>
      <c r="D48" s="11" t="s">
        <v>163</v>
      </c>
      <c r="E48" s="11" t="s">
        <v>163</v>
      </c>
      <c r="F48" s="11" t="s">
        <v>708</v>
      </c>
      <c r="G48" s="11" t="s">
        <v>651</v>
      </c>
      <c r="H48" s="11">
        <v>1010</v>
      </c>
      <c r="I48" s="11">
        <v>1010</v>
      </c>
      <c r="J48" s="11">
        <v>0</v>
      </c>
      <c r="K48" s="11" t="s">
        <v>163</v>
      </c>
      <c r="L48" s="11" t="s">
        <v>650</v>
      </c>
      <c r="M48" s="11" t="s">
        <v>163</v>
      </c>
      <c r="N48" s="11" t="s">
        <v>652</v>
      </c>
      <c r="O48" s="11">
        <v>1</v>
      </c>
      <c r="P48" s="11" t="s">
        <v>652</v>
      </c>
      <c r="Q48" s="11">
        <v>0</v>
      </c>
      <c r="R48" s="11">
        <v>1010</v>
      </c>
      <c r="S48" s="68" t="str">
        <f>IF(SUMPRODUCT((e_makara[[#Headers],[MAKARA NO]]=e_1[[#This Row],[Makara Numarası]])*(e_makara[[#Headers],[Kalan]]&lt;0))&gt;0,
    "HATA VAR",
    "")</f>
        <v/>
      </c>
      <c r="T48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49" spans="1:20" x14ac:dyDescent="0.3">
      <c r="A49" s="17">
        <v>45980</v>
      </c>
      <c r="B49" s="11" t="s">
        <v>2</v>
      </c>
      <c r="C49" s="11" t="s">
        <v>262</v>
      </c>
      <c r="D49" s="11" t="s">
        <v>158</v>
      </c>
      <c r="E49" s="11" t="s">
        <v>263</v>
      </c>
      <c r="F49" s="11" t="s">
        <v>708</v>
      </c>
      <c r="G49" s="11" t="s">
        <v>661</v>
      </c>
      <c r="H49" s="11">
        <v>805</v>
      </c>
      <c r="I49" s="11">
        <v>805</v>
      </c>
      <c r="J49" s="11">
        <v>507</v>
      </c>
      <c r="K49" s="11" t="s">
        <v>158</v>
      </c>
      <c r="L49" s="11" t="s">
        <v>662</v>
      </c>
      <c r="M49" s="11" t="s">
        <v>263</v>
      </c>
      <c r="N49" s="11" t="s">
        <v>265</v>
      </c>
      <c r="O49" s="11">
        <v>1</v>
      </c>
      <c r="P49" s="11"/>
      <c r="Q49" s="11">
        <v>507</v>
      </c>
      <c r="R49" s="11">
        <v>298</v>
      </c>
      <c r="S49" s="75" t="str">
        <f>IF(SUMPRODUCT((e_makara[[#Headers],[MAKARA NO]]=e_1[[#This Row],[Makara Numarası]])*(e_makara[[#Headers],[Kalan]]&lt;0))&gt;0,
    "HATA VAR",
    "")</f>
        <v/>
      </c>
      <c r="T49" s="75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0" spans="1:20" x14ac:dyDescent="0.3">
      <c r="A50" s="16">
        <v>45978</v>
      </c>
      <c r="B50" s="11" t="s">
        <v>2</v>
      </c>
      <c r="C50" s="11" t="s">
        <v>270</v>
      </c>
      <c r="D50" s="11" t="s">
        <v>163</v>
      </c>
      <c r="E50" s="11" t="s">
        <v>163</v>
      </c>
      <c r="F50" s="11" t="s">
        <v>708</v>
      </c>
      <c r="G50" s="11" t="s">
        <v>653</v>
      </c>
      <c r="H50" s="11">
        <v>1097</v>
      </c>
      <c r="I50" s="11">
        <v>1097</v>
      </c>
      <c r="J50" s="11">
        <v>0</v>
      </c>
      <c r="K50" s="11" t="s">
        <v>163</v>
      </c>
      <c r="L50" s="11" t="s">
        <v>652</v>
      </c>
      <c r="M50" s="11" t="s">
        <v>163</v>
      </c>
      <c r="N50" s="11" t="s">
        <v>654</v>
      </c>
      <c r="O50" s="11">
        <v>1</v>
      </c>
      <c r="P50" s="11" t="s">
        <v>654</v>
      </c>
      <c r="Q50" s="11">
        <v>0</v>
      </c>
      <c r="R50" s="11">
        <v>1097</v>
      </c>
      <c r="S50" s="68" t="str">
        <f>IF(SUMPRODUCT((e_makara[[#Headers],[MAKARA NO]]=e_1[[#This Row],[Makara Numarası]])*(e_makara[[#Headers],[Kalan]]&lt;0))&gt;0,
    "HATA VAR",
    "")</f>
        <v/>
      </c>
      <c r="T50" s="68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51" spans="1:20" x14ac:dyDescent="0.3">
      <c r="A51" s="16">
        <v>45980</v>
      </c>
      <c r="B51" s="11" t="s">
        <v>2</v>
      </c>
      <c r="C51" s="11" t="s">
        <v>270</v>
      </c>
      <c r="D51" s="11" t="s">
        <v>163</v>
      </c>
      <c r="E51" s="11" t="s">
        <v>163</v>
      </c>
      <c r="F51" s="11" t="s">
        <v>708</v>
      </c>
      <c r="G51" s="11" t="s">
        <v>661</v>
      </c>
      <c r="H51" s="11">
        <v>1010</v>
      </c>
      <c r="I51" s="11">
        <v>1010</v>
      </c>
      <c r="J51" s="11">
        <v>805</v>
      </c>
      <c r="K51" s="11" t="s">
        <v>163</v>
      </c>
      <c r="L51" s="11" t="s">
        <v>654</v>
      </c>
      <c r="M51" s="11" t="s">
        <v>163</v>
      </c>
      <c r="N51" s="11" t="s">
        <v>260</v>
      </c>
      <c r="O51" s="11">
        <v>1</v>
      </c>
      <c r="P51" s="11"/>
      <c r="Q51" s="11">
        <v>805</v>
      </c>
      <c r="R51" s="11">
        <v>205</v>
      </c>
      <c r="S51" s="68" t="str">
        <f>IF(SUMPRODUCT((e_makara[[#Headers],[MAKARA NO]]=e_1[[#This Row],[Makara Numarası]])*(e_makara[[#Headers],[Kalan]]&lt;0))&gt;0,
    "HATA VAR",
    "")</f>
        <v/>
      </c>
      <c r="T51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2" spans="1:20" x14ac:dyDescent="0.3">
      <c r="A52" s="16">
        <v>45978</v>
      </c>
      <c r="B52" s="11" t="s">
        <v>2</v>
      </c>
      <c r="C52" s="11" t="s">
        <v>655</v>
      </c>
      <c r="D52" s="11" t="s">
        <v>273</v>
      </c>
      <c r="E52" s="11" t="s">
        <v>163</v>
      </c>
      <c r="F52" s="11" t="s">
        <v>559</v>
      </c>
      <c r="G52" s="11" t="s">
        <v>656</v>
      </c>
      <c r="H52" s="11">
        <v>1005</v>
      </c>
      <c r="I52" s="11">
        <v>1005</v>
      </c>
      <c r="J52" s="11">
        <v>766</v>
      </c>
      <c r="K52" s="11" t="s">
        <v>273</v>
      </c>
      <c r="L52" s="11" t="s">
        <v>260</v>
      </c>
      <c r="M52" s="11" t="s">
        <v>163</v>
      </c>
      <c r="N52" s="11" t="s">
        <v>274</v>
      </c>
      <c r="O52" s="11">
        <v>1</v>
      </c>
      <c r="P52" s="11"/>
      <c r="Q52" s="11">
        <v>766</v>
      </c>
      <c r="R52" s="11">
        <v>239</v>
      </c>
      <c r="S52" s="68" t="str">
        <f>IF(SUMPRODUCT((e_makara[[#Headers],[MAKARA NO]]=e_1[[#This Row],[Makara Numarası]])*(e_makara[[#Headers],[Kalan]]&lt;0))&gt;0,
    "HATA VAR",
    "")</f>
        <v/>
      </c>
      <c r="T52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3" spans="1:20" x14ac:dyDescent="0.3">
      <c r="A53" s="16">
        <v>45978</v>
      </c>
      <c r="B53" s="11" t="s">
        <v>2</v>
      </c>
      <c r="C53" s="11" t="s">
        <v>275</v>
      </c>
      <c r="D53" s="11" t="s">
        <v>273</v>
      </c>
      <c r="E53" s="11" t="s">
        <v>263</v>
      </c>
      <c r="F53" s="11" t="s">
        <v>559</v>
      </c>
      <c r="G53" s="11" t="s">
        <v>656</v>
      </c>
      <c r="H53" s="11">
        <v>766</v>
      </c>
      <c r="I53" s="11">
        <v>766</v>
      </c>
      <c r="J53" s="11">
        <v>555</v>
      </c>
      <c r="K53" s="11" t="s">
        <v>273</v>
      </c>
      <c r="L53" s="11" t="s">
        <v>274</v>
      </c>
      <c r="M53" s="11" t="s">
        <v>263</v>
      </c>
      <c r="N53" s="11" t="s">
        <v>264</v>
      </c>
      <c r="O53" s="11">
        <v>1</v>
      </c>
      <c r="P53" s="11"/>
      <c r="Q53" s="11">
        <v>555</v>
      </c>
      <c r="R53" s="11">
        <v>211</v>
      </c>
      <c r="S53" s="68" t="str">
        <f>IF(SUMPRODUCT((e_makara[[#Headers],[MAKARA NO]]=e_1[[#This Row],[Makara Numarası]])*(e_makara[[#Headers],[Kalan]]&lt;0))&gt;0,
    "HATA VAR",
    "")</f>
        <v/>
      </c>
      <c r="T5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4" spans="1:20" x14ac:dyDescent="0.3">
      <c r="A54" s="16">
        <v>45978</v>
      </c>
      <c r="B54" s="11" t="s">
        <v>2</v>
      </c>
      <c r="C54" s="11" t="s">
        <v>657</v>
      </c>
      <c r="D54" s="11" t="s">
        <v>325</v>
      </c>
      <c r="E54" s="11" t="s">
        <v>277</v>
      </c>
      <c r="F54" s="11" t="s">
        <v>559</v>
      </c>
      <c r="G54" s="11" t="s">
        <v>656</v>
      </c>
      <c r="H54" s="11">
        <v>555</v>
      </c>
      <c r="I54" s="11">
        <v>555</v>
      </c>
      <c r="J54" s="11">
        <v>87</v>
      </c>
      <c r="K54" s="11" t="s">
        <v>325</v>
      </c>
      <c r="L54" s="11" t="s">
        <v>658</v>
      </c>
      <c r="M54" s="11" t="s">
        <v>277</v>
      </c>
      <c r="N54" s="11" t="s">
        <v>278</v>
      </c>
      <c r="O54" s="11">
        <v>1</v>
      </c>
      <c r="P54" s="11"/>
      <c r="Q54" s="11">
        <v>87</v>
      </c>
      <c r="R54" s="11">
        <v>468</v>
      </c>
      <c r="S54" s="68" t="str">
        <f>IF(SUMPRODUCT((e_makara[[#Headers],[MAKARA NO]]=e_1[[#This Row],[Makara Numarası]])*(e_makara[[#Headers],[Kalan]]&lt;0))&gt;0,
    "HATA VAR",
    "")</f>
        <v/>
      </c>
      <c r="T5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5" spans="1:20" x14ac:dyDescent="0.3">
      <c r="A55" s="16">
        <v>45978</v>
      </c>
      <c r="B55" s="11" t="s">
        <v>2</v>
      </c>
      <c r="C55" s="11" t="s">
        <v>279</v>
      </c>
      <c r="D55" s="11" t="s">
        <v>277</v>
      </c>
      <c r="E55" s="11" t="s">
        <v>280</v>
      </c>
      <c r="F55" s="11" t="s">
        <v>559</v>
      </c>
      <c r="G55" s="11" t="s">
        <v>656</v>
      </c>
      <c r="H55" s="11">
        <v>87</v>
      </c>
      <c r="I55" s="11">
        <v>87</v>
      </c>
      <c r="J55" s="11">
        <v>0</v>
      </c>
      <c r="K55" s="11" t="s">
        <v>277</v>
      </c>
      <c r="L55" s="11" t="s">
        <v>278</v>
      </c>
      <c r="M55" s="11" t="s">
        <v>280</v>
      </c>
      <c r="N55" s="11" t="s">
        <v>659</v>
      </c>
      <c r="O55" s="11">
        <v>1</v>
      </c>
      <c r="P55" s="11" t="s">
        <v>659</v>
      </c>
      <c r="Q55" s="11">
        <v>0</v>
      </c>
      <c r="R55" s="11">
        <v>87</v>
      </c>
      <c r="S55" s="68" t="str">
        <f>IF(SUMPRODUCT((e_makara[[#Headers],[MAKARA NO]]=e_1[[#This Row],[Makara Numarası]])*(e_makara[[#Headers],[Kalan]]&lt;0))&gt;0,
    "HATA VAR",
    "")</f>
        <v/>
      </c>
      <c r="T5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6" spans="1:20" x14ac:dyDescent="0.3">
      <c r="A56" s="16">
        <v>45980</v>
      </c>
      <c r="B56" s="11" t="s">
        <v>2</v>
      </c>
      <c r="C56" s="11" t="s">
        <v>663</v>
      </c>
      <c r="D56" s="11" t="s">
        <v>277</v>
      </c>
      <c r="E56" s="11" t="s">
        <v>280</v>
      </c>
      <c r="F56" s="11" t="s">
        <v>559</v>
      </c>
      <c r="G56" s="11" t="s">
        <v>664</v>
      </c>
      <c r="H56" s="11">
        <v>998</v>
      </c>
      <c r="I56" s="11">
        <v>998</v>
      </c>
      <c r="J56" s="11">
        <v>647</v>
      </c>
      <c r="K56" s="11" t="s">
        <v>277</v>
      </c>
      <c r="L56" s="11" t="s">
        <v>659</v>
      </c>
      <c r="M56" s="11" t="s">
        <v>280</v>
      </c>
      <c r="N56" s="11" t="s">
        <v>281</v>
      </c>
      <c r="O56" s="11">
        <v>1</v>
      </c>
      <c r="P56" s="11"/>
      <c r="Q56" s="11">
        <v>647</v>
      </c>
      <c r="R56" s="11">
        <v>351</v>
      </c>
      <c r="S56" s="68" t="str">
        <f>IF(SUMPRODUCT((e_makara[[#Headers],[MAKARA NO]]=e_1[[#This Row],[Makara Numarası]])*(e_makara[[#Headers],[Kalan]]&lt;0))&gt;0,
    "HATA VAR",
    "")</f>
        <v/>
      </c>
      <c r="T56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7" spans="1:20" x14ac:dyDescent="0.3">
      <c r="A57" s="16">
        <v>45979</v>
      </c>
      <c r="B57" s="11" t="s">
        <v>2</v>
      </c>
      <c r="C57" s="11" t="s">
        <v>660</v>
      </c>
      <c r="D57" s="11" t="s">
        <v>284</v>
      </c>
      <c r="E57" s="11" t="s">
        <v>280</v>
      </c>
      <c r="F57" s="11" t="s">
        <v>559</v>
      </c>
      <c r="G57" s="11" t="s">
        <v>645</v>
      </c>
      <c r="H57" s="11">
        <v>146</v>
      </c>
      <c r="I57" s="11">
        <v>146</v>
      </c>
      <c r="J57" s="11">
        <v>0</v>
      </c>
      <c r="K57" s="11" t="s">
        <v>280</v>
      </c>
      <c r="L57" s="11" t="s">
        <v>281</v>
      </c>
      <c r="M57" s="11" t="s">
        <v>284</v>
      </c>
      <c r="N57" s="11" t="s">
        <v>1</v>
      </c>
      <c r="O57" s="11">
        <v>1</v>
      </c>
      <c r="P57" s="11"/>
      <c r="Q57" s="11">
        <v>0</v>
      </c>
      <c r="R57" s="11">
        <v>146</v>
      </c>
      <c r="S57" s="68" t="str">
        <f>IF(SUMPRODUCT((e_makara[[#Headers],[MAKARA NO]]=e_1[[#This Row],[Makara Numarası]])*(e_makara[[#Headers],[Kalan]]&lt;0))&gt;0,
    "HATA VAR",
    "")</f>
        <v/>
      </c>
      <c r="T5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8" spans="1:20" x14ac:dyDescent="0.3">
      <c r="A58" s="16">
        <v>45989</v>
      </c>
      <c r="B58" s="11" t="s">
        <v>294</v>
      </c>
      <c r="C58" s="11" t="s">
        <v>266</v>
      </c>
      <c r="D58" s="11" t="s">
        <v>284</v>
      </c>
      <c r="E58" s="11" t="s">
        <v>268</v>
      </c>
      <c r="F58" s="11" t="s">
        <v>708</v>
      </c>
      <c r="G58" s="11" t="s">
        <v>665</v>
      </c>
      <c r="H58" s="11">
        <v>1030</v>
      </c>
      <c r="I58" s="11">
        <v>1030</v>
      </c>
      <c r="J58" s="11">
        <v>933</v>
      </c>
      <c r="K58" s="11" t="s">
        <v>284</v>
      </c>
      <c r="L58" s="11" t="s">
        <v>1</v>
      </c>
      <c r="M58" s="11" t="s">
        <v>268</v>
      </c>
      <c r="N58" s="11" t="s">
        <v>666</v>
      </c>
      <c r="O58" s="11">
        <v>1</v>
      </c>
      <c r="P58" s="11" t="s">
        <v>269</v>
      </c>
      <c r="Q58" s="11">
        <v>933</v>
      </c>
      <c r="R58" s="11">
        <v>97</v>
      </c>
      <c r="S58" s="68" t="str">
        <f>IF(SUMPRODUCT((e_makara[[#Headers],[MAKARA NO]]=e_1[[#This Row],[Makara Numarası]])*(e_makara[[#Headers],[Kalan]]&lt;0))&gt;0,
    "HATA VAR",
    "")</f>
        <v/>
      </c>
      <c r="T58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59" spans="1:20" x14ac:dyDescent="0.3">
      <c r="A59" s="16">
        <v>45989</v>
      </c>
      <c r="B59" s="11" t="s">
        <v>294</v>
      </c>
      <c r="C59" s="11" t="s">
        <v>667</v>
      </c>
      <c r="D59" s="11" t="s">
        <v>668</v>
      </c>
      <c r="E59" s="11" t="s">
        <v>134</v>
      </c>
      <c r="F59" s="11" t="s">
        <v>708</v>
      </c>
      <c r="G59" s="11" t="s">
        <v>665</v>
      </c>
      <c r="H59" s="11">
        <v>933</v>
      </c>
      <c r="I59" s="11">
        <v>933</v>
      </c>
      <c r="J59" s="11">
        <v>0</v>
      </c>
      <c r="K59" s="11" t="s">
        <v>668</v>
      </c>
      <c r="L59" s="11" t="s">
        <v>666</v>
      </c>
      <c r="M59" s="11" t="s">
        <v>134</v>
      </c>
      <c r="N59" s="11" t="s">
        <v>669</v>
      </c>
      <c r="O59" s="11">
        <v>1</v>
      </c>
      <c r="P59" s="11" t="s">
        <v>669</v>
      </c>
      <c r="Q59" s="11">
        <v>0</v>
      </c>
      <c r="R59" s="11">
        <v>933</v>
      </c>
      <c r="S59" s="68" t="str">
        <f>IF(SUMPRODUCT((e_makara[[#Headers],[MAKARA NO]]=e_1[[#This Row],[Makara Numarası]])*(e_makara[[#Headers],[Kalan]]&lt;0))&gt;0,
    "HATA VAR",
    "")</f>
        <v/>
      </c>
      <c r="T59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0" spans="1:20" x14ac:dyDescent="0.3">
      <c r="A60" s="16">
        <v>45989</v>
      </c>
      <c r="B60" s="11" t="s">
        <v>294</v>
      </c>
      <c r="C60" s="11" t="s">
        <v>300</v>
      </c>
      <c r="D60" s="11" t="s">
        <v>268</v>
      </c>
      <c r="E60" s="11" t="s">
        <v>134</v>
      </c>
      <c r="F60" s="11" t="s">
        <v>708</v>
      </c>
      <c r="G60" s="11" t="s">
        <v>670</v>
      </c>
      <c r="H60" s="11">
        <v>507</v>
      </c>
      <c r="I60" s="11">
        <v>507</v>
      </c>
      <c r="J60" s="11">
        <v>279</v>
      </c>
      <c r="K60" s="11" t="s">
        <v>268</v>
      </c>
      <c r="L60" s="11" t="s">
        <v>669</v>
      </c>
      <c r="M60" s="11" t="s">
        <v>134</v>
      </c>
      <c r="N60" s="11" t="s">
        <v>299</v>
      </c>
      <c r="O60" s="11">
        <v>1</v>
      </c>
      <c r="P60" s="11"/>
      <c r="Q60" s="11">
        <v>279</v>
      </c>
      <c r="R60" s="11">
        <v>228</v>
      </c>
      <c r="S60" s="68" t="str">
        <f>IF(SUMPRODUCT((e_makara[[#Headers],[MAKARA NO]]=e_1[[#This Row],[Makara Numarası]])*(e_makara[[#Headers],[Kalan]]&lt;0))&gt;0,
    "HATA VAR",
    "")</f>
        <v/>
      </c>
      <c r="T60" s="68" t="str">
        <f>IFERROR(
   IF(
      (COUNTIF(e_1[[#This Row],[Kablo Tipi]],"*(H)*")&gt;0) =
      (INDEX(e_makara[Kablo Cinsi],MATCH(e_1[[#This Row],[Makara Numarası]],e_makara[MAKARA NO],0))="LSZH"),
      "",
      "HATA VAR"
   ),
"HATA VAR")</f>
        <v>HATA VAR</v>
      </c>
    </row>
    <row r="61" spans="1:20" x14ac:dyDescent="0.3">
      <c r="A61" s="15">
        <v>45990</v>
      </c>
      <c r="B61" s="11" t="s">
        <v>294</v>
      </c>
      <c r="C61" s="11" t="s">
        <v>677</v>
      </c>
      <c r="D61" s="11" t="s">
        <v>134</v>
      </c>
      <c r="E61" s="11" t="s">
        <v>296</v>
      </c>
      <c r="F61" s="11" t="s">
        <v>559</v>
      </c>
      <c r="G61" s="11" t="s">
        <v>664</v>
      </c>
      <c r="H61" s="11">
        <v>523</v>
      </c>
      <c r="I61" s="11">
        <v>523</v>
      </c>
      <c r="J61" s="11">
        <v>437</v>
      </c>
      <c r="K61" s="11" t="s">
        <v>678</v>
      </c>
      <c r="L61" s="11" t="s">
        <v>299</v>
      </c>
      <c r="M61" s="11" t="s">
        <v>296</v>
      </c>
      <c r="N61" s="11" t="s">
        <v>297</v>
      </c>
      <c r="O61" s="11">
        <v>1</v>
      </c>
      <c r="P61" s="11"/>
      <c r="Q61" s="11">
        <v>437</v>
      </c>
      <c r="R61" s="11">
        <v>86</v>
      </c>
      <c r="S61" s="68" t="str">
        <f>IF(SUMPRODUCT((e_makara[[#Headers],[MAKARA NO]]=e_1[[#This Row],[Makara Numarası]])*(e_makara[[#Headers],[Kalan]]&lt;0))&gt;0,
    "HATA VAR",
    "")</f>
        <v/>
      </c>
      <c r="T61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2" spans="1:20" x14ac:dyDescent="0.3">
      <c r="A62" s="15">
        <v>45990</v>
      </c>
      <c r="B62" s="11" t="s">
        <v>294</v>
      </c>
      <c r="C62" s="11" t="s">
        <v>679</v>
      </c>
      <c r="D62" s="11" t="s">
        <v>680</v>
      </c>
      <c r="E62" s="11" t="s">
        <v>291</v>
      </c>
      <c r="F62" s="11" t="s">
        <v>559</v>
      </c>
      <c r="G62" s="11" t="s">
        <v>664</v>
      </c>
      <c r="H62" s="11">
        <v>437</v>
      </c>
      <c r="I62" s="11">
        <v>437</v>
      </c>
      <c r="J62" s="11">
        <v>151</v>
      </c>
      <c r="K62" s="11" t="s">
        <v>680</v>
      </c>
      <c r="L62" s="11" t="s">
        <v>297</v>
      </c>
      <c r="M62" s="11" t="s">
        <v>291</v>
      </c>
      <c r="N62" s="11" t="s">
        <v>293</v>
      </c>
      <c r="O62" s="11">
        <v>1</v>
      </c>
      <c r="P62" s="11"/>
      <c r="Q62" s="11">
        <v>151</v>
      </c>
      <c r="R62" s="11">
        <v>286</v>
      </c>
      <c r="S62" s="68" t="str">
        <f>IF(SUMPRODUCT((e_makara[[#Headers],[MAKARA NO]]=e_1[[#This Row],[Makara Numarası]])*(e_makara[[#Headers],[Kalan]]&lt;0))&gt;0,
    "HATA VAR",
    "")</f>
        <v/>
      </c>
      <c r="T62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3" spans="1:20" x14ac:dyDescent="0.3">
      <c r="A63" s="15">
        <v>45990</v>
      </c>
      <c r="B63" s="11" t="s">
        <v>294</v>
      </c>
      <c r="C63" s="11" t="s">
        <v>681</v>
      </c>
      <c r="D63" s="11" t="s">
        <v>291</v>
      </c>
      <c r="E63" s="11" t="s">
        <v>290</v>
      </c>
      <c r="F63" s="11" t="s">
        <v>708</v>
      </c>
      <c r="G63" s="11" t="s">
        <v>671</v>
      </c>
      <c r="H63" s="11">
        <v>1133</v>
      </c>
      <c r="I63" s="11">
        <v>1133</v>
      </c>
      <c r="J63" s="11">
        <v>828</v>
      </c>
      <c r="K63" s="11" t="s">
        <v>291</v>
      </c>
      <c r="L63" s="11" t="s">
        <v>293</v>
      </c>
      <c r="M63" s="11" t="s">
        <v>290</v>
      </c>
      <c r="N63" s="11" t="s">
        <v>292</v>
      </c>
      <c r="O63" s="11">
        <v>1</v>
      </c>
      <c r="P63" s="11"/>
      <c r="Q63" s="11">
        <v>828</v>
      </c>
      <c r="R63" s="11">
        <v>305</v>
      </c>
      <c r="S63" s="68" t="str">
        <f>IF(SUMPRODUCT((e_makara[[#Headers],[MAKARA NO]]=e_1[[#This Row],[Makara Numarası]])*(e_makara[[#Headers],[Kalan]]&lt;0))&gt;0,
    "HATA VAR",
    "")</f>
        <v/>
      </c>
      <c r="T63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4" spans="1:20" x14ac:dyDescent="0.3">
      <c r="A64" s="15">
        <v>45990</v>
      </c>
      <c r="B64" s="11" t="s">
        <v>294</v>
      </c>
      <c r="C64" s="11" t="s">
        <v>675</v>
      </c>
      <c r="D64" s="11" t="s">
        <v>118</v>
      </c>
      <c r="E64" s="11" t="s">
        <v>290</v>
      </c>
      <c r="F64" s="11" t="s">
        <v>559</v>
      </c>
      <c r="G64" s="11" t="s">
        <v>664</v>
      </c>
      <c r="H64" s="11">
        <v>647</v>
      </c>
      <c r="I64" s="11">
        <v>647</v>
      </c>
      <c r="J64" s="11">
        <v>523</v>
      </c>
      <c r="K64" s="11" t="s">
        <v>290</v>
      </c>
      <c r="L64" s="11" t="s">
        <v>676</v>
      </c>
      <c r="M64" s="11" t="s">
        <v>328</v>
      </c>
      <c r="N64" s="11" t="s">
        <v>287</v>
      </c>
      <c r="O64" s="11">
        <v>1</v>
      </c>
      <c r="P64" s="11"/>
      <c r="Q64" s="11">
        <v>523</v>
      </c>
      <c r="R64" s="11">
        <v>124</v>
      </c>
      <c r="S64" s="68" t="str">
        <f>IF(SUMPRODUCT((e_makara[[#Headers],[MAKARA NO]]=e_1[[#This Row],[Makara Numarası]])*(e_makara[[#Headers],[Kalan]]&lt;0))&gt;0,
    "HATA VAR",
    "")</f>
        <v/>
      </c>
      <c r="T64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5" spans="1:20" x14ac:dyDescent="0.3">
      <c r="A65" s="15">
        <v>45990</v>
      </c>
      <c r="B65" s="11" t="s">
        <v>294</v>
      </c>
      <c r="C65" s="11" t="s">
        <v>322</v>
      </c>
      <c r="D65" s="11" t="s">
        <v>323</v>
      </c>
      <c r="E65" s="11" t="s">
        <v>158</v>
      </c>
      <c r="F65" s="11" t="s">
        <v>708</v>
      </c>
      <c r="G65" s="11" t="s">
        <v>661</v>
      </c>
      <c r="H65" s="11">
        <v>279</v>
      </c>
      <c r="I65" s="11">
        <v>279</v>
      </c>
      <c r="J65" s="11">
        <v>184</v>
      </c>
      <c r="K65" s="11" t="s">
        <v>325</v>
      </c>
      <c r="L65" s="11" t="s">
        <v>326</v>
      </c>
      <c r="M65" s="11" t="s">
        <v>323</v>
      </c>
      <c r="N65" s="11" t="s">
        <v>324</v>
      </c>
      <c r="O65" s="11">
        <v>1</v>
      </c>
      <c r="P65" s="11"/>
      <c r="Q65" s="11">
        <v>184</v>
      </c>
      <c r="R65" s="11">
        <v>95</v>
      </c>
      <c r="S65" s="68" t="str">
        <f>IF(SUMPRODUCT((e_makara[[#Headers],[MAKARA NO]]=e_1[[#This Row],[Makara Numarası]])*(e_makara[[#Headers],[Kalan]]&lt;0))&gt;0,
    "HATA VAR",
    "")</f>
        <v/>
      </c>
      <c r="T65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6" spans="1:20" x14ac:dyDescent="0.3">
      <c r="A66" s="15">
        <v>45990</v>
      </c>
      <c r="B66" s="11" t="s">
        <v>294</v>
      </c>
      <c r="C66" s="11" t="s">
        <v>329</v>
      </c>
      <c r="D66" s="11" t="s">
        <v>323</v>
      </c>
      <c r="E66" s="11" t="s">
        <v>302</v>
      </c>
      <c r="F66" s="11" t="s">
        <v>559</v>
      </c>
      <c r="G66" s="11" t="s">
        <v>682</v>
      </c>
      <c r="H66" s="11">
        <v>1004</v>
      </c>
      <c r="I66" s="11">
        <v>1004</v>
      </c>
      <c r="J66" s="11">
        <v>638</v>
      </c>
      <c r="K66" s="11" t="s">
        <v>323</v>
      </c>
      <c r="L66" s="11" t="s">
        <v>324</v>
      </c>
      <c r="M66" s="11" t="s">
        <v>302</v>
      </c>
      <c r="N66" s="11" t="s">
        <v>305</v>
      </c>
      <c r="O66" s="11">
        <v>1</v>
      </c>
      <c r="P66" s="11"/>
      <c r="Q66" s="11">
        <v>638</v>
      </c>
      <c r="R66" s="11">
        <v>366</v>
      </c>
      <c r="S66" s="68" t="str">
        <f>IF(SUMPRODUCT((e_makara[[#Headers],[MAKARA NO]]=e_1[[#This Row],[Makara Numarası]])*(e_makara[[#Headers],[Kalan]]&lt;0))&gt;0,
    "HATA VAR",
    "")</f>
        <v/>
      </c>
      <c r="T66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7" spans="1:20" x14ac:dyDescent="0.3">
      <c r="A67" s="15">
        <v>45990</v>
      </c>
      <c r="B67" s="11" t="s">
        <v>294</v>
      </c>
      <c r="C67" s="11" t="s">
        <v>301</v>
      </c>
      <c r="D67" s="11" t="s">
        <v>302</v>
      </c>
      <c r="E67" s="11" t="s">
        <v>303</v>
      </c>
      <c r="F67" s="11" t="s">
        <v>559</v>
      </c>
      <c r="G67" s="11" t="s">
        <v>682</v>
      </c>
      <c r="H67" s="11">
        <v>638</v>
      </c>
      <c r="I67" s="11">
        <v>638</v>
      </c>
      <c r="J67" s="11">
        <v>257</v>
      </c>
      <c r="K67" s="11" t="s">
        <v>302</v>
      </c>
      <c r="L67" s="11" t="s">
        <v>305</v>
      </c>
      <c r="M67" s="11" t="s">
        <v>303</v>
      </c>
      <c r="N67" s="11" t="s">
        <v>306</v>
      </c>
      <c r="O67" s="11">
        <v>1</v>
      </c>
      <c r="P67" s="11"/>
      <c r="Q67" s="11">
        <v>257</v>
      </c>
      <c r="R67" s="11">
        <v>381</v>
      </c>
      <c r="S67" s="68" t="str">
        <f>IF(SUMPRODUCT((e_makara[[#Headers],[MAKARA NO]]=e_1[[#This Row],[Makara Numarası]])*(e_makara[[#Headers],[Kalan]]&lt;0))&gt;0,
    "HATA VAR",
    "")</f>
        <v/>
      </c>
      <c r="T67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8" spans="1:20" x14ac:dyDescent="0.3">
      <c r="A68" s="15">
        <v>45990</v>
      </c>
      <c r="B68" s="11" t="s">
        <v>294</v>
      </c>
      <c r="C68" s="11" t="s">
        <v>673</v>
      </c>
      <c r="D68" s="11" t="s">
        <v>303</v>
      </c>
      <c r="E68" s="11" t="s">
        <v>308</v>
      </c>
      <c r="F68" s="11" t="s">
        <v>559</v>
      </c>
      <c r="G68" s="11" t="s">
        <v>682</v>
      </c>
      <c r="H68" s="11">
        <v>257</v>
      </c>
      <c r="I68" s="11">
        <v>257</v>
      </c>
      <c r="J68" s="11">
        <v>0</v>
      </c>
      <c r="K68" s="11" t="s">
        <v>303</v>
      </c>
      <c r="L68" s="11" t="s">
        <v>306</v>
      </c>
      <c r="M68" s="11" t="s">
        <v>308</v>
      </c>
      <c r="N68" s="11" t="s">
        <v>674</v>
      </c>
      <c r="O68" s="11">
        <v>1</v>
      </c>
      <c r="P68" s="11" t="s">
        <v>674</v>
      </c>
      <c r="Q68" s="11">
        <v>0</v>
      </c>
      <c r="R68" s="11">
        <v>257</v>
      </c>
      <c r="S68" s="68" t="str">
        <f>IF(SUMPRODUCT((e_makara[[#Headers],[MAKARA NO]]=e_1[[#This Row],[Makara Numarası]])*(e_makara[[#Headers],[Kalan]]&lt;0))&gt;0,
    "HATA VAR",
    "")</f>
        <v/>
      </c>
      <c r="T68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69" spans="1:20" x14ac:dyDescent="0.3">
      <c r="A69" s="15">
        <v>45990</v>
      </c>
      <c r="B69" s="11" t="s">
        <v>294</v>
      </c>
      <c r="C69" s="11" t="s">
        <v>673</v>
      </c>
      <c r="D69" s="11" t="s">
        <v>303</v>
      </c>
      <c r="E69" s="11" t="s">
        <v>308</v>
      </c>
      <c r="F69" s="11" t="s">
        <v>559</v>
      </c>
      <c r="G69" s="11" t="s">
        <v>664</v>
      </c>
      <c r="H69" s="11">
        <v>151</v>
      </c>
      <c r="I69" s="11">
        <v>151</v>
      </c>
      <c r="J69" s="11">
        <v>38</v>
      </c>
      <c r="K69" s="11" t="s">
        <v>303</v>
      </c>
      <c r="L69" s="11" t="s">
        <v>674</v>
      </c>
      <c r="M69" s="11" t="s">
        <v>308</v>
      </c>
      <c r="N69" s="11" t="s">
        <v>309</v>
      </c>
      <c r="O69" s="11">
        <v>1</v>
      </c>
      <c r="P69" s="11"/>
      <c r="Q69" s="11">
        <v>38</v>
      </c>
      <c r="R69" s="11">
        <v>113</v>
      </c>
      <c r="S69" s="68" t="str">
        <f>IF(SUMPRODUCT((e_makara[[#Headers],[MAKARA NO]]=e_1[[#This Row],[Makara Numarası]])*(e_makara[[#Headers],[Kalan]]&lt;0))&gt;0,
    "HATA VAR",
    "")</f>
        <v/>
      </c>
      <c r="T69" s="68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0" spans="1:20" x14ac:dyDescent="0.3">
      <c r="A70" s="49">
        <v>45990</v>
      </c>
      <c r="B70" s="11" t="s">
        <v>294</v>
      </c>
      <c r="C70" s="11" t="s">
        <v>316</v>
      </c>
      <c r="D70" s="11" t="s">
        <v>163</v>
      </c>
      <c r="E70" s="11" t="s">
        <v>317</v>
      </c>
      <c r="F70" s="11" t="s">
        <v>708</v>
      </c>
      <c r="G70" s="11" t="s">
        <v>671</v>
      </c>
      <c r="H70" s="11">
        <v>828</v>
      </c>
      <c r="I70" s="11">
        <v>828</v>
      </c>
      <c r="J70" s="11">
        <v>94</v>
      </c>
      <c r="K70" s="11" t="s">
        <v>256</v>
      </c>
      <c r="L70" s="11" t="s">
        <v>315</v>
      </c>
      <c r="M70" s="11" t="s">
        <v>317</v>
      </c>
      <c r="N70" s="11" t="s">
        <v>672</v>
      </c>
      <c r="O70" s="11">
        <v>1</v>
      </c>
      <c r="P70" s="11"/>
      <c r="Q70" s="11">
        <v>94</v>
      </c>
      <c r="R70" s="11">
        <v>734</v>
      </c>
      <c r="S70" s="70" t="str">
        <f>IF(SUMPRODUCT((e_makara[[#Headers],[MAKARA NO]]=e_1[[#This Row],[Makara Numarası]])*(e_makara[[#Headers],[Kalan]]&lt;0))&gt;0,
    "HATA VAR",
    "")</f>
        <v/>
      </c>
      <c r="T70" s="70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1" spans="1:20" x14ac:dyDescent="0.3">
      <c r="A71" s="49">
        <v>45994</v>
      </c>
      <c r="B71" s="96" t="s">
        <v>294</v>
      </c>
      <c r="C71" s="70" t="s">
        <v>848</v>
      </c>
      <c r="D71" s="70" t="s">
        <v>308</v>
      </c>
      <c r="E71" s="70" t="s">
        <v>163</v>
      </c>
      <c r="F71" s="70" t="s">
        <v>559</v>
      </c>
      <c r="G71" s="70" t="s">
        <v>785</v>
      </c>
      <c r="H71" s="70">
        <v>1002</v>
      </c>
      <c r="I71" s="70">
        <v>1002</v>
      </c>
      <c r="J71" s="70">
        <v>829</v>
      </c>
      <c r="K71" s="70" t="s">
        <v>308</v>
      </c>
      <c r="L71" s="70" t="s">
        <v>309</v>
      </c>
      <c r="M71" s="70" t="s">
        <v>256</v>
      </c>
      <c r="N71" s="70" t="s">
        <v>315</v>
      </c>
      <c r="O71" s="11">
        <v>1</v>
      </c>
      <c r="P71" s="70"/>
      <c r="Q71" s="70">
        <v>829</v>
      </c>
      <c r="R71" s="70">
        <v>173</v>
      </c>
      <c r="S71" s="97" t="str">
        <f>IF(SUMPRODUCT((e_makara[[#Headers],[MAKARA NO]]=e_1[[#This Row],[Makara Numarası]])*(e_makara[[#Headers],[Kalan]]&lt;0))&gt;0,
    "HATA VAR",
    "")</f>
        <v/>
      </c>
      <c r="T71" s="97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2" spans="1:20" x14ac:dyDescent="0.3">
      <c r="A72" s="15">
        <v>45994</v>
      </c>
      <c r="B72" s="94" t="s">
        <v>294</v>
      </c>
      <c r="C72" s="68" t="s">
        <v>849</v>
      </c>
      <c r="D72" s="68" t="s">
        <v>317</v>
      </c>
      <c r="E72" s="68" t="s">
        <v>850</v>
      </c>
      <c r="F72" s="68" t="s">
        <v>559</v>
      </c>
      <c r="G72" s="68" t="s">
        <v>785</v>
      </c>
      <c r="H72" s="68">
        <v>829</v>
      </c>
      <c r="I72" s="68">
        <v>829</v>
      </c>
      <c r="J72" s="68">
        <v>154</v>
      </c>
      <c r="K72" s="68" t="s">
        <v>317</v>
      </c>
      <c r="L72" s="68" t="s">
        <v>319</v>
      </c>
      <c r="M72" s="68" t="s">
        <v>850</v>
      </c>
      <c r="N72" s="68" t="s">
        <v>830</v>
      </c>
      <c r="O72" s="11">
        <v>1</v>
      </c>
      <c r="P72" s="68"/>
      <c r="Q72" s="68">
        <v>154</v>
      </c>
      <c r="R72" s="68">
        <v>675</v>
      </c>
      <c r="S72" s="95" t="str">
        <f>IF(SUMPRODUCT((e_makara[[#Headers],[MAKARA NO]]=e_1[[#This Row],[Makara Numarası]])*(e_makara[[#Headers],[Kalan]]&lt;0))&gt;0,
    "HATA VAR",
    "")</f>
        <v/>
      </c>
      <c r="T72" s="95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3" spans="1:20" x14ac:dyDescent="0.3">
      <c r="A73" s="15">
        <v>45994</v>
      </c>
      <c r="B73" s="94" t="s">
        <v>294</v>
      </c>
      <c r="C73" s="68" t="s">
        <v>831</v>
      </c>
      <c r="D73" s="68" t="s">
        <v>832</v>
      </c>
      <c r="E73" s="68" t="s">
        <v>829</v>
      </c>
      <c r="F73" s="68" t="s">
        <v>559</v>
      </c>
      <c r="G73" s="68" t="s">
        <v>785</v>
      </c>
      <c r="H73" s="68">
        <v>154</v>
      </c>
      <c r="I73" s="68">
        <v>154</v>
      </c>
      <c r="J73" s="68">
        <v>0</v>
      </c>
      <c r="K73" s="68" t="s">
        <v>832</v>
      </c>
      <c r="L73" s="68" t="s">
        <v>830</v>
      </c>
      <c r="M73" s="68" t="s">
        <v>829</v>
      </c>
      <c r="N73" s="68" t="s">
        <v>851</v>
      </c>
      <c r="O73" s="11">
        <v>1</v>
      </c>
      <c r="P73" s="68" t="s">
        <v>851</v>
      </c>
      <c r="Q73" s="68">
        <v>0</v>
      </c>
      <c r="R73" s="68">
        <v>154</v>
      </c>
      <c r="S73" s="95" t="str">
        <f>IF(SUMPRODUCT((e_makara[[#Headers],[MAKARA NO]]=e_1[[#This Row],[Makara Numarası]])*(e_makara[[#Headers],[Kalan]]&lt;0))&gt;0,
    "HATA VAR",
    "")</f>
        <v/>
      </c>
      <c r="T73" s="95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4" spans="1:20" x14ac:dyDescent="0.3">
      <c r="A74" s="49">
        <v>45994</v>
      </c>
      <c r="B74" s="96" t="s">
        <v>294</v>
      </c>
      <c r="C74" s="70" t="s">
        <v>852</v>
      </c>
      <c r="D74" s="70" t="s">
        <v>853</v>
      </c>
      <c r="E74" s="70" t="s">
        <v>829</v>
      </c>
      <c r="F74" s="70" t="s">
        <v>559</v>
      </c>
      <c r="G74" s="70" t="s">
        <v>786</v>
      </c>
      <c r="H74" s="70">
        <v>1001</v>
      </c>
      <c r="I74" s="70">
        <v>1001</v>
      </c>
      <c r="J74" s="70">
        <v>672</v>
      </c>
      <c r="K74" s="70" t="s">
        <v>853</v>
      </c>
      <c r="L74" s="70" t="s">
        <v>851</v>
      </c>
      <c r="M74" s="70" t="s">
        <v>829</v>
      </c>
      <c r="N74" s="70" t="s">
        <v>833</v>
      </c>
      <c r="O74" s="11">
        <v>1</v>
      </c>
      <c r="P74" s="70"/>
      <c r="Q74" s="70">
        <v>672</v>
      </c>
      <c r="R74" s="70">
        <v>329</v>
      </c>
      <c r="S74" s="97" t="str">
        <f>IF(SUMPRODUCT((e_makara[[#Headers],[MAKARA NO]]=e_1[[#This Row],[Makara Numarası]])*(e_makara[[#Headers],[Kalan]]&lt;0))&gt;0,
    "HATA VAR",
    "")</f>
        <v/>
      </c>
      <c r="T74" s="97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  <row r="75" spans="1:20" x14ac:dyDescent="0.3">
      <c r="A75" s="49">
        <v>45994</v>
      </c>
      <c r="B75" s="96" t="s">
        <v>294</v>
      </c>
      <c r="C75" s="70" t="s">
        <v>845</v>
      </c>
      <c r="D75" s="70" t="s">
        <v>843</v>
      </c>
      <c r="E75" s="70" t="s">
        <v>450</v>
      </c>
      <c r="F75" s="70" t="s">
        <v>559</v>
      </c>
      <c r="G75" s="70" t="s">
        <v>786</v>
      </c>
      <c r="H75" s="70">
        <v>370</v>
      </c>
      <c r="I75" s="70">
        <v>370</v>
      </c>
      <c r="J75" s="70">
        <v>117</v>
      </c>
      <c r="K75" s="70" t="s">
        <v>843</v>
      </c>
      <c r="L75" s="70" t="s">
        <v>844</v>
      </c>
      <c r="M75" s="70" t="s">
        <v>450</v>
      </c>
      <c r="N75" s="70" t="s">
        <v>839</v>
      </c>
      <c r="O75" s="11">
        <v>1</v>
      </c>
      <c r="P75" s="70"/>
      <c r="Q75" s="70">
        <v>117</v>
      </c>
      <c r="R75" s="70">
        <v>253</v>
      </c>
      <c r="S75" s="97" t="str">
        <f>IF(SUMPRODUCT((e_makara[[#Headers],[MAKARA NO]]=e_1[[#This Row],[Makara Numarası]])*(e_makara[[#Headers],[Kalan]]&lt;0))&gt;0,
    "HATA VAR",
    "")</f>
        <v/>
      </c>
      <c r="T75" s="97" t="str">
        <f>IFERROR(
   IF(
      (COUNTIF(e_1[[#This Row],[Kablo Tipi]],"*(H)*")&gt;0) =
      (INDEX(e_makara[Kablo Cinsi],MATCH(e_1[[#This Row],[Makara Numarası]],e_makara[MAKARA NO],0))="LSZH"),
      "",
      "HATA VAR"
   ),
"HATA VAR")</f>
        <v/>
      </c>
    </row>
  </sheetData>
  <conditionalFormatting sqref="T3">
    <cfRule type="cellIs" dxfId="102" priority="1" operator="equal">
      <formula>"HATA VAR"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D188-3454-4633-B39F-A5D02D90854E}">
  <dimension ref="A1:T19"/>
  <sheetViews>
    <sheetView topLeftCell="G1" zoomScale="77" workbookViewId="0">
      <selection activeCell="M14" sqref="A1:XFD1048576"/>
    </sheetView>
  </sheetViews>
  <sheetFormatPr defaultColWidth="26.88671875" defaultRowHeight="14.4" x14ac:dyDescent="0.3"/>
  <cols>
    <col min="1" max="1" width="11.109375" bestFit="1" customWidth="1"/>
    <col min="2" max="2" width="8.88671875" bestFit="1" customWidth="1"/>
    <col min="3" max="3" width="23.5546875" bestFit="1" customWidth="1"/>
    <col min="4" max="4" width="14.109375" bestFit="1" customWidth="1"/>
    <col min="5" max="5" width="12.77734375" bestFit="1" customWidth="1"/>
    <col min="6" max="6" width="15.109375" bestFit="1" customWidth="1"/>
    <col min="7" max="7" width="21.88671875" bestFit="1" customWidth="1"/>
    <col min="8" max="8" width="22" bestFit="1" customWidth="1"/>
    <col min="9" max="9" width="21.77734375" bestFit="1" customWidth="1"/>
    <col min="10" max="10" width="17.33203125" bestFit="1" customWidth="1"/>
    <col min="11" max="11" width="21.88671875" bestFit="1" customWidth="1"/>
    <col min="12" max="12" width="17.88671875" bestFit="1" customWidth="1"/>
    <col min="13" max="13" width="17.44140625" bestFit="1" customWidth="1"/>
    <col min="14" max="14" width="13.5546875" bestFit="1" customWidth="1"/>
    <col min="15" max="15" width="17.44140625" bestFit="1" customWidth="1"/>
    <col min="16" max="16" width="11.88671875" bestFit="1" customWidth="1"/>
    <col min="17" max="17" width="26.21875" bestFit="1" customWidth="1"/>
    <col min="18" max="18" width="14.21875" bestFit="1" customWidth="1"/>
    <col min="19" max="19" width="16.5546875" bestFit="1" customWidth="1"/>
    <col min="20" max="20" width="14.6640625" bestFit="1" customWidth="1"/>
  </cols>
  <sheetData>
    <row r="1" spans="1:20" x14ac:dyDescent="0.3">
      <c r="A1" s="1" t="s">
        <v>46</v>
      </c>
      <c r="B1" s="1" t="s">
        <v>557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74" t="s">
        <v>817</v>
      </c>
      <c r="T1" s="71" t="s">
        <v>819</v>
      </c>
    </row>
    <row r="2" spans="1:20" x14ac:dyDescent="0.3">
      <c r="A2" s="17">
        <v>45954</v>
      </c>
      <c r="B2" s="11" t="s">
        <v>5</v>
      </c>
      <c r="C2" s="41" t="s">
        <v>619</v>
      </c>
      <c r="D2" s="41" t="s">
        <v>191</v>
      </c>
      <c r="E2" s="41" t="s">
        <v>134</v>
      </c>
      <c r="F2" s="41" t="s">
        <v>559</v>
      </c>
      <c r="G2" s="41" t="s">
        <v>610</v>
      </c>
      <c r="H2" s="41">
        <v>270</v>
      </c>
      <c r="I2" s="41">
        <v>270</v>
      </c>
      <c r="J2" s="41">
        <v>0</v>
      </c>
      <c r="K2" s="41" t="s">
        <v>191</v>
      </c>
      <c r="L2" s="41" t="s">
        <v>192</v>
      </c>
      <c r="M2" s="41" t="s">
        <v>693</v>
      </c>
      <c r="N2" s="41" t="s">
        <v>826</v>
      </c>
      <c r="O2" s="41">
        <v>2</v>
      </c>
      <c r="P2" s="41" t="s">
        <v>693</v>
      </c>
      <c r="Q2" s="41">
        <v>0</v>
      </c>
      <c r="R2" s="47">
        <v>270</v>
      </c>
      <c r="S2" s="72" t="str">
        <f>IF(SUMPRODUCT((e_makara[[#Headers],[MAKARA NO]]=e_2[[#This Row],[Makara Numarası]])*(e_makara[[#Headers],[Kalan]]&lt;0))&gt;0,
    "HATA VAR",
    "")</f>
        <v/>
      </c>
      <c r="T2" s="72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3" spans="1:20" ht="20.399999999999999" x14ac:dyDescent="0.3">
      <c r="A3" s="17">
        <v>45957</v>
      </c>
      <c r="B3" s="11" t="s">
        <v>5</v>
      </c>
      <c r="C3" s="41" t="s">
        <v>349</v>
      </c>
      <c r="D3" s="41" t="s">
        <v>350</v>
      </c>
      <c r="E3" s="41" t="s">
        <v>351</v>
      </c>
      <c r="F3" s="42" t="s">
        <v>708</v>
      </c>
      <c r="G3" s="41" t="s">
        <v>620</v>
      </c>
      <c r="H3" s="41">
        <v>1009</v>
      </c>
      <c r="I3" s="41">
        <v>1009</v>
      </c>
      <c r="J3" s="41">
        <v>0</v>
      </c>
      <c r="K3" s="41" t="s">
        <v>350</v>
      </c>
      <c r="L3" s="41" t="s">
        <v>28</v>
      </c>
      <c r="M3" s="41" t="s">
        <v>694</v>
      </c>
      <c r="N3" s="12" t="s">
        <v>621</v>
      </c>
      <c r="O3" s="41">
        <v>2</v>
      </c>
      <c r="P3" s="41" t="s">
        <v>694</v>
      </c>
      <c r="Q3" s="41">
        <v>0</v>
      </c>
      <c r="R3" s="12">
        <v>1009</v>
      </c>
      <c r="S3" s="44" t="str">
        <f>IF(SUMPRODUCT((e_makara[[#Headers],[MAKARA NO]]=e_2[[#This Row],[Makara Numarası]])*(e_makara[[#Headers],[Kalan]]&lt;0))&gt;0,
    "HATA VAR",
    "")</f>
        <v/>
      </c>
      <c r="T3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4" spans="1:20" ht="20.399999999999999" x14ac:dyDescent="0.3">
      <c r="A4" s="17">
        <v>45957</v>
      </c>
      <c r="B4" s="11" t="s">
        <v>5</v>
      </c>
      <c r="C4" s="41" t="s">
        <v>349</v>
      </c>
      <c r="D4" s="41" t="s">
        <v>350</v>
      </c>
      <c r="E4" s="41" t="s">
        <v>351</v>
      </c>
      <c r="F4" s="42" t="s">
        <v>708</v>
      </c>
      <c r="G4" s="41" t="s">
        <v>618</v>
      </c>
      <c r="H4" s="41">
        <v>712</v>
      </c>
      <c r="I4" s="41">
        <v>712</v>
      </c>
      <c r="J4" s="41">
        <v>425</v>
      </c>
      <c r="K4" s="41" t="s">
        <v>350</v>
      </c>
      <c r="L4" s="12" t="s">
        <v>621</v>
      </c>
      <c r="M4" s="41" t="s">
        <v>351</v>
      </c>
      <c r="N4" s="12" t="s">
        <v>29</v>
      </c>
      <c r="O4" s="41">
        <v>2</v>
      </c>
      <c r="P4" s="43"/>
      <c r="Q4" s="41">
        <v>425</v>
      </c>
      <c r="R4" s="12">
        <v>287</v>
      </c>
      <c r="S4" s="44" t="str">
        <f>IF(SUMPRODUCT((e_makara[[#Headers],[MAKARA NO]]=e_2[[#This Row],[Makara Numarası]])*(e_makara[[#Headers],[Kalan]]&lt;0))&gt;0,
    "HATA VAR",
    "")</f>
        <v/>
      </c>
      <c r="T4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5" spans="1:20" x14ac:dyDescent="0.3">
      <c r="A5" s="16">
        <v>45961</v>
      </c>
      <c r="B5" s="40" t="s">
        <v>7</v>
      </c>
      <c r="C5" s="44" t="s">
        <v>355</v>
      </c>
      <c r="D5" s="44" t="s">
        <v>354</v>
      </c>
      <c r="E5" s="44" t="s">
        <v>356</v>
      </c>
      <c r="F5" s="44" t="s">
        <v>559</v>
      </c>
      <c r="G5" s="44" t="s">
        <v>623</v>
      </c>
      <c r="H5" s="44">
        <v>1001</v>
      </c>
      <c r="I5" s="44">
        <v>1001</v>
      </c>
      <c r="J5" s="44">
        <v>645</v>
      </c>
      <c r="K5" s="44" t="s">
        <v>354</v>
      </c>
      <c r="L5" s="44" t="s">
        <v>30</v>
      </c>
      <c r="M5" s="44" t="s">
        <v>356</v>
      </c>
      <c r="N5" s="44" t="s">
        <v>31</v>
      </c>
      <c r="O5" s="44">
        <v>2</v>
      </c>
      <c r="P5" s="44"/>
      <c r="Q5" s="44">
        <v>645</v>
      </c>
      <c r="R5" s="48">
        <v>356</v>
      </c>
      <c r="S5" s="44" t="str">
        <f>IF(SUMPRODUCT((e_makara[[#Headers],[MAKARA NO]]=e_2[[#This Row],[Makara Numarası]])*(e_makara[[#Headers],[Kalan]]&lt;0))&gt;0,
    "HATA VAR",
    "")</f>
        <v/>
      </c>
      <c r="T5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6" spans="1:20" x14ac:dyDescent="0.3">
      <c r="A6" s="16">
        <v>45961</v>
      </c>
      <c r="B6" s="40" t="s">
        <v>7</v>
      </c>
      <c r="C6" s="44" t="s">
        <v>357</v>
      </c>
      <c r="D6" s="44" t="s">
        <v>356</v>
      </c>
      <c r="E6" s="44" t="s">
        <v>358</v>
      </c>
      <c r="F6" s="44" t="s">
        <v>559</v>
      </c>
      <c r="G6" s="44" t="s">
        <v>623</v>
      </c>
      <c r="H6" s="44">
        <v>645</v>
      </c>
      <c r="I6" s="44">
        <v>645</v>
      </c>
      <c r="J6" s="44">
        <v>468</v>
      </c>
      <c r="K6" s="44" t="s">
        <v>356</v>
      </c>
      <c r="L6" s="44" t="s">
        <v>31</v>
      </c>
      <c r="M6" s="44" t="s">
        <v>358</v>
      </c>
      <c r="N6" s="44" t="s">
        <v>32</v>
      </c>
      <c r="O6" s="44">
        <v>2</v>
      </c>
      <c r="P6" s="44"/>
      <c r="Q6" s="44">
        <v>468</v>
      </c>
      <c r="R6" s="48">
        <v>177</v>
      </c>
      <c r="S6" s="44" t="str">
        <f>IF(SUMPRODUCT((e_makara[[#Headers],[MAKARA NO]]=e_2[[#This Row],[Makara Numarası]])*(e_makara[[#Headers],[Kalan]]&lt;0))&gt;0,
    "HATA VAR",
    "")</f>
        <v/>
      </c>
      <c r="T6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7" spans="1:20" x14ac:dyDescent="0.3">
      <c r="A7" s="16">
        <v>45961</v>
      </c>
      <c r="B7" s="40" t="s">
        <v>7</v>
      </c>
      <c r="C7" s="44" t="s">
        <v>359</v>
      </c>
      <c r="D7" s="44" t="s">
        <v>358</v>
      </c>
      <c r="E7" s="44" t="s">
        <v>360</v>
      </c>
      <c r="F7" s="44" t="s">
        <v>559</v>
      </c>
      <c r="G7" s="44" t="s">
        <v>623</v>
      </c>
      <c r="H7" s="44">
        <v>468</v>
      </c>
      <c r="I7" s="44">
        <v>468</v>
      </c>
      <c r="J7" s="44">
        <v>0</v>
      </c>
      <c r="K7" s="44" t="s">
        <v>358</v>
      </c>
      <c r="L7" s="44" t="s">
        <v>32</v>
      </c>
      <c r="M7" s="46" t="s">
        <v>695</v>
      </c>
      <c r="N7" s="44" t="s">
        <v>624</v>
      </c>
      <c r="O7" s="44">
        <v>2</v>
      </c>
      <c r="P7" s="46" t="s">
        <v>695</v>
      </c>
      <c r="Q7" s="44">
        <v>0</v>
      </c>
      <c r="R7" s="48">
        <v>468</v>
      </c>
      <c r="S7" s="44" t="str">
        <f>IF(SUMPRODUCT((e_makara[[#Headers],[MAKARA NO]]=e_2[[#This Row],[Makara Numarası]])*(e_makara[[#Headers],[Kalan]]&lt;0))&gt;0,
    "HATA VAR",
    "")</f>
        <v/>
      </c>
      <c r="T7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8" spans="1:20" x14ac:dyDescent="0.3">
      <c r="A8" s="16">
        <v>45961</v>
      </c>
      <c r="B8" s="40" t="s">
        <v>7</v>
      </c>
      <c r="C8" s="44" t="s">
        <v>359</v>
      </c>
      <c r="D8" s="44" t="s">
        <v>358</v>
      </c>
      <c r="E8" s="44" t="s">
        <v>360</v>
      </c>
      <c r="F8" s="44" t="s">
        <v>559</v>
      </c>
      <c r="G8" s="44" t="s">
        <v>625</v>
      </c>
      <c r="H8" s="44">
        <v>1001</v>
      </c>
      <c r="I8" s="44">
        <v>1001</v>
      </c>
      <c r="J8" s="44">
        <v>0</v>
      </c>
      <c r="K8" s="46" t="s">
        <v>695</v>
      </c>
      <c r="L8" s="44" t="s">
        <v>624</v>
      </c>
      <c r="M8" s="46" t="s">
        <v>696</v>
      </c>
      <c r="N8" s="44" t="s">
        <v>626</v>
      </c>
      <c r="O8" s="44">
        <v>2</v>
      </c>
      <c r="P8" s="46" t="s">
        <v>696</v>
      </c>
      <c r="Q8" s="44">
        <v>0</v>
      </c>
      <c r="R8" s="48">
        <v>1001</v>
      </c>
      <c r="S8" s="44" t="str">
        <f>IF(SUMPRODUCT((e_makara[[#Headers],[MAKARA NO]]=e_2[[#This Row],[Makara Numarası]])*(e_makara[[#Headers],[Kalan]]&lt;0))&gt;0,
    "HATA VAR",
    "")</f>
        <v/>
      </c>
      <c r="T8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9" spans="1:20" x14ac:dyDescent="0.3">
      <c r="A9" s="16">
        <v>45961</v>
      </c>
      <c r="B9" s="40" t="s">
        <v>7</v>
      </c>
      <c r="C9" s="44" t="s">
        <v>359</v>
      </c>
      <c r="D9" s="44" t="s">
        <v>358</v>
      </c>
      <c r="E9" s="44" t="s">
        <v>360</v>
      </c>
      <c r="F9" s="44" t="s">
        <v>559</v>
      </c>
      <c r="G9" s="44" t="s">
        <v>562</v>
      </c>
      <c r="H9" s="44">
        <v>65</v>
      </c>
      <c r="I9" s="44">
        <v>65</v>
      </c>
      <c r="J9" s="44">
        <v>0</v>
      </c>
      <c r="K9" s="46" t="s">
        <v>696</v>
      </c>
      <c r="L9" s="44" t="s">
        <v>626</v>
      </c>
      <c r="M9" s="44" t="s">
        <v>360</v>
      </c>
      <c r="N9" s="44" t="s">
        <v>33</v>
      </c>
      <c r="O9" s="44">
        <v>2</v>
      </c>
      <c r="P9" s="44"/>
      <c r="Q9" s="44">
        <v>0</v>
      </c>
      <c r="R9" s="48">
        <v>65</v>
      </c>
      <c r="S9" s="44" t="str">
        <f>IF(SUMPRODUCT((e_makara[[#Headers],[MAKARA NO]]=e_2[[#This Row],[Makara Numarası]])*(e_makara[[#Headers],[Kalan]]&lt;0))&gt;0,
    "HATA VAR",
    "")</f>
        <v/>
      </c>
      <c r="T9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0" spans="1:20" x14ac:dyDescent="0.3">
      <c r="A10" s="50">
        <v>45961</v>
      </c>
      <c r="B10" s="40" t="s">
        <v>7</v>
      </c>
      <c r="C10" s="44" t="s">
        <v>361</v>
      </c>
      <c r="D10" s="44" t="s">
        <v>360</v>
      </c>
      <c r="E10" s="44" t="s">
        <v>158</v>
      </c>
      <c r="F10" s="44" t="s">
        <v>559</v>
      </c>
      <c r="G10" s="44" t="s">
        <v>628</v>
      </c>
      <c r="H10" s="44">
        <v>998</v>
      </c>
      <c r="I10" s="44">
        <v>998</v>
      </c>
      <c r="J10" s="44">
        <v>0</v>
      </c>
      <c r="K10" s="44" t="s">
        <v>360</v>
      </c>
      <c r="L10" s="44" t="s">
        <v>33</v>
      </c>
      <c r="M10" s="46" t="s">
        <v>697</v>
      </c>
      <c r="N10" s="44" t="s">
        <v>629</v>
      </c>
      <c r="O10" s="44">
        <v>2</v>
      </c>
      <c r="P10" s="46" t="s">
        <v>697</v>
      </c>
      <c r="Q10" s="44">
        <v>0</v>
      </c>
      <c r="R10" s="48">
        <v>998</v>
      </c>
      <c r="S10" s="44" t="str">
        <f>IF(SUMPRODUCT((e_makara[[#Headers],[MAKARA NO]]=e_2[[#This Row],[Makara Numarası]])*(e_makara[[#Headers],[Kalan]]&lt;0))&gt;0,
    "HATA VAR",
    "")</f>
        <v/>
      </c>
      <c r="T10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1" spans="1:20" x14ac:dyDescent="0.3">
      <c r="A11" s="16">
        <v>45961</v>
      </c>
      <c r="B11" s="40" t="s">
        <v>7</v>
      </c>
      <c r="C11" s="44" t="s">
        <v>361</v>
      </c>
      <c r="D11" s="44" t="s">
        <v>360</v>
      </c>
      <c r="E11" s="44" t="s">
        <v>158</v>
      </c>
      <c r="F11" s="44" t="s">
        <v>559</v>
      </c>
      <c r="G11" s="44" t="s">
        <v>630</v>
      </c>
      <c r="H11" s="44">
        <v>1007</v>
      </c>
      <c r="I11" s="44">
        <v>1007</v>
      </c>
      <c r="J11" s="44">
        <v>610</v>
      </c>
      <c r="K11" s="46" t="s">
        <v>697</v>
      </c>
      <c r="L11" s="44" t="s">
        <v>629</v>
      </c>
      <c r="M11" s="44" t="s">
        <v>158</v>
      </c>
      <c r="N11" s="44" t="s">
        <v>34</v>
      </c>
      <c r="O11" s="44">
        <v>2</v>
      </c>
      <c r="P11" s="44"/>
      <c r="Q11" s="44">
        <v>610</v>
      </c>
      <c r="R11" s="48">
        <v>397</v>
      </c>
      <c r="S11" s="44" t="str">
        <f>IF(SUMPRODUCT((e_makara[[#Headers],[MAKARA NO]]=e_2[[#This Row],[Makara Numarası]])*(e_makara[[#Headers],[Kalan]]&lt;0))&gt;0,
    "HATA VAR",
    "")</f>
        <v/>
      </c>
      <c r="T11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2" spans="1:20" x14ac:dyDescent="0.3">
      <c r="A12" s="16">
        <v>45959</v>
      </c>
      <c r="B12" s="40" t="s">
        <v>7</v>
      </c>
      <c r="C12" s="44" t="s">
        <v>622</v>
      </c>
      <c r="D12" s="44" t="s">
        <v>158</v>
      </c>
      <c r="E12" s="44" t="s">
        <v>354</v>
      </c>
      <c r="F12" s="45" t="s">
        <v>708</v>
      </c>
      <c r="G12" s="44" t="s">
        <v>618</v>
      </c>
      <c r="H12" s="44">
        <v>425</v>
      </c>
      <c r="I12" s="44">
        <v>425</v>
      </c>
      <c r="J12" s="44">
        <v>97</v>
      </c>
      <c r="K12" s="44" t="s">
        <v>158</v>
      </c>
      <c r="L12" s="44" t="s">
        <v>34</v>
      </c>
      <c r="M12" s="44" t="s">
        <v>354</v>
      </c>
      <c r="N12" s="44" t="s">
        <v>209</v>
      </c>
      <c r="O12" s="13">
        <v>2</v>
      </c>
      <c r="P12" s="14"/>
      <c r="Q12" s="44">
        <v>97</v>
      </c>
      <c r="R12" s="48">
        <v>328</v>
      </c>
      <c r="S12" s="44" t="str">
        <f>IF(SUMPRODUCT((e_makara[[#Headers],[MAKARA NO]]=e_2[[#This Row],[Makara Numarası]])*(e_makara[[#Headers],[Kalan]]&lt;0))&gt;0,
    "HATA VAR",
    "")</f>
        <v/>
      </c>
      <c r="T12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3" spans="1:20" x14ac:dyDescent="0.3">
      <c r="A13" s="16">
        <v>45962</v>
      </c>
      <c r="B13" s="40" t="s">
        <v>7</v>
      </c>
      <c r="C13" s="44" t="s">
        <v>632</v>
      </c>
      <c r="D13" s="44" t="s">
        <v>365</v>
      </c>
      <c r="E13" s="44" t="s">
        <v>360</v>
      </c>
      <c r="F13" s="44" t="s">
        <v>708</v>
      </c>
      <c r="G13" s="44" t="s">
        <v>618</v>
      </c>
      <c r="H13" s="44">
        <v>97</v>
      </c>
      <c r="I13" s="44">
        <v>97</v>
      </c>
      <c r="J13" s="44">
        <v>0</v>
      </c>
      <c r="K13" s="44" t="s">
        <v>147</v>
      </c>
      <c r="L13" s="44" t="s">
        <v>35</v>
      </c>
      <c r="M13" s="44" t="s">
        <v>698</v>
      </c>
      <c r="N13" s="44" t="s">
        <v>633</v>
      </c>
      <c r="O13" s="44">
        <v>2</v>
      </c>
      <c r="P13" s="44" t="s">
        <v>698</v>
      </c>
      <c r="Q13" s="44">
        <v>0</v>
      </c>
      <c r="R13" s="48">
        <v>97</v>
      </c>
      <c r="S13" s="44" t="str">
        <f>IF(SUMPRODUCT((e_makara[[#Headers],[MAKARA NO]]=e_2[[#This Row],[Makara Numarası]])*(e_makara[[#Headers],[Kalan]]&lt;0))&gt;0,
    "HATA VAR",
    "")</f>
        <v/>
      </c>
      <c r="T13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4" spans="1:20" x14ac:dyDescent="0.3">
      <c r="A14" s="16">
        <v>45964</v>
      </c>
      <c r="B14" s="40" t="s">
        <v>7</v>
      </c>
      <c r="C14" s="44" t="s">
        <v>634</v>
      </c>
      <c r="D14" s="44" t="s">
        <v>163</v>
      </c>
      <c r="E14" s="44" t="s">
        <v>365</v>
      </c>
      <c r="F14" s="44" t="s">
        <v>708</v>
      </c>
      <c r="G14" s="44" t="s">
        <v>635</v>
      </c>
      <c r="H14" s="44">
        <v>1011</v>
      </c>
      <c r="I14" s="44">
        <v>1011</v>
      </c>
      <c r="J14" s="44">
        <v>200</v>
      </c>
      <c r="K14" s="44" t="s">
        <v>163</v>
      </c>
      <c r="L14" s="44" t="s">
        <v>35</v>
      </c>
      <c r="M14" s="44" t="s">
        <v>365</v>
      </c>
      <c r="N14" s="44" t="s">
        <v>36</v>
      </c>
      <c r="O14" s="44">
        <v>2</v>
      </c>
      <c r="P14" s="44"/>
      <c r="Q14" s="44">
        <v>200</v>
      </c>
      <c r="R14" s="48">
        <v>811</v>
      </c>
      <c r="S14" s="44" t="str">
        <f>IF(SUMPRODUCT((e_makara[[#Headers],[MAKARA NO]]=e_2[[#This Row],[Makara Numarası]])*(e_makara[[#Headers],[Kalan]]&lt;0))&gt;0,
    "HATA VAR",
    "")</f>
        <v/>
      </c>
      <c r="T14" s="44" t="str">
        <f>IFERROR(
   IF(
      (COUNTIF(e_2[[#This Row],[Kablo Tipi]],"*(H)*")&gt;0) =
      (INDEX(e_makara[Kablo Cinsi],MATCH(e_2[[#This Row],[Makara Numarası]],e_makara[MAKARA NO],0))="LSZH"),
      "",
      "HATA VAR"
   ),
"HATA VAR")</f>
        <v>HATA VAR</v>
      </c>
    </row>
    <row r="15" spans="1:20" x14ac:dyDescent="0.3">
      <c r="A15" s="16">
        <v>45966</v>
      </c>
      <c r="B15" s="40" t="s">
        <v>7</v>
      </c>
      <c r="C15" s="44" t="s">
        <v>366</v>
      </c>
      <c r="D15" s="44" t="s">
        <v>365</v>
      </c>
      <c r="E15" s="44" t="s">
        <v>365</v>
      </c>
      <c r="F15" s="44" t="s">
        <v>559</v>
      </c>
      <c r="G15" s="44" t="s">
        <v>630</v>
      </c>
      <c r="H15" s="44">
        <v>176</v>
      </c>
      <c r="I15" s="44">
        <v>176</v>
      </c>
      <c r="J15" s="44">
        <v>59</v>
      </c>
      <c r="K15" s="44" t="s">
        <v>365</v>
      </c>
      <c r="L15" s="44" t="s">
        <v>36</v>
      </c>
      <c r="M15" s="44" t="s">
        <v>365</v>
      </c>
      <c r="N15" s="44" t="s">
        <v>37</v>
      </c>
      <c r="O15" s="44">
        <v>2</v>
      </c>
      <c r="P15" s="44"/>
      <c r="Q15" s="44">
        <v>59</v>
      </c>
      <c r="R15" s="48">
        <v>117</v>
      </c>
      <c r="S15" s="44" t="str">
        <f>IF(SUMPRODUCT((e_makara[[#Headers],[MAKARA NO]]=e_2[[#This Row],[Makara Numarası]])*(e_makara[[#Headers],[Kalan]]&lt;0))&gt;0,
    "HATA VAR",
    "")</f>
        <v/>
      </c>
      <c r="T15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6" spans="1:20" x14ac:dyDescent="0.3">
      <c r="A16" s="16">
        <v>45967</v>
      </c>
      <c r="B16" s="40" t="s">
        <v>7</v>
      </c>
      <c r="C16" s="44" t="s">
        <v>367</v>
      </c>
      <c r="D16" s="44" t="s">
        <v>368</v>
      </c>
      <c r="E16" s="44" t="s">
        <v>438</v>
      </c>
      <c r="F16" s="44" t="s">
        <v>559</v>
      </c>
      <c r="G16" s="44" t="s">
        <v>636</v>
      </c>
      <c r="H16" s="44">
        <v>1001</v>
      </c>
      <c r="I16" s="44">
        <v>1001</v>
      </c>
      <c r="J16" s="44">
        <v>778</v>
      </c>
      <c r="K16" s="44" t="s">
        <v>368</v>
      </c>
      <c r="L16" s="44" t="s">
        <v>37</v>
      </c>
      <c r="M16" s="44" t="s">
        <v>227</v>
      </c>
      <c r="N16" s="44" t="s">
        <v>8</v>
      </c>
      <c r="O16" s="44">
        <v>2</v>
      </c>
      <c r="P16" s="46"/>
      <c r="Q16" s="44">
        <v>778</v>
      </c>
      <c r="R16" s="48">
        <v>223</v>
      </c>
      <c r="S16" s="44" t="str">
        <f>IF(SUMPRODUCT((e_makara[[#Headers],[MAKARA NO]]=e_2[[#This Row],[Makara Numarası]])*(e_makara[[#Headers],[Kalan]]&lt;0))&gt;0,
    "HATA VAR",
    "")</f>
        <v/>
      </c>
      <c r="T16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7" spans="1:20" x14ac:dyDescent="0.3">
      <c r="A17" s="16">
        <v>45972</v>
      </c>
      <c r="B17" s="40" t="s">
        <v>7</v>
      </c>
      <c r="C17" s="44" t="s">
        <v>369</v>
      </c>
      <c r="D17" s="44" t="s">
        <v>229</v>
      </c>
      <c r="E17" s="44" t="s">
        <v>370</v>
      </c>
      <c r="F17" s="44" t="s">
        <v>559</v>
      </c>
      <c r="G17" s="44" t="s">
        <v>636</v>
      </c>
      <c r="H17" s="44">
        <v>778</v>
      </c>
      <c r="I17" s="44">
        <v>778</v>
      </c>
      <c r="J17" s="44">
        <v>496</v>
      </c>
      <c r="K17" s="44" t="s">
        <v>229</v>
      </c>
      <c r="L17" s="44" t="s">
        <v>38</v>
      </c>
      <c r="M17" s="44" t="s">
        <v>370</v>
      </c>
      <c r="N17" s="44" t="s">
        <v>371</v>
      </c>
      <c r="O17" s="44">
        <v>2</v>
      </c>
      <c r="P17" s="46"/>
      <c r="Q17" s="44">
        <v>496</v>
      </c>
      <c r="R17" s="48">
        <v>282</v>
      </c>
      <c r="S17" s="44" t="str">
        <f>IF(SUMPRODUCT((e_makara[[#Headers],[MAKARA NO]]=e_2[[#This Row],[Makara Numarası]])*(e_makara[[#Headers],[Kalan]]&lt;0))&gt;0,
    "HATA VAR",
    "")</f>
        <v/>
      </c>
      <c r="T17" s="44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8" spans="1:20" x14ac:dyDescent="0.3">
      <c r="A18" s="51">
        <v>45973</v>
      </c>
      <c r="B18" s="52" t="s">
        <v>7</v>
      </c>
      <c r="C18" s="53" t="s">
        <v>374</v>
      </c>
      <c r="D18" s="53" t="s">
        <v>373</v>
      </c>
      <c r="E18" s="53" t="s">
        <v>375</v>
      </c>
      <c r="F18" s="53" t="s">
        <v>559</v>
      </c>
      <c r="G18" s="53" t="s">
        <v>642</v>
      </c>
      <c r="H18" s="53">
        <v>813</v>
      </c>
      <c r="I18" s="53">
        <v>813</v>
      </c>
      <c r="J18" s="53">
        <v>239</v>
      </c>
      <c r="K18" s="53" t="s">
        <v>373</v>
      </c>
      <c r="L18" s="53" t="s">
        <v>39</v>
      </c>
      <c r="M18" s="53" t="s">
        <v>375</v>
      </c>
      <c r="N18" s="53" t="s">
        <v>40</v>
      </c>
      <c r="O18" s="44">
        <v>2</v>
      </c>
      <c r="P18" s="54"/>
      <c r="Q18" s="53">
        <v>239</v>
      </c>
      <c r="R18" s="55">
        <v>574</v>
      </c>
      <c r="S18" s="73" t="str">
        <f>IF(SUMPRODUCT((e_makara[[#Headers],[MAKARA NO]]=e_2[[#This Row],[Makara Numarası]])*(e_makara[[#Headers],[Kalan]]&lt;0))&gt;0,
    "HATA VAR",
    "")</f>
        <v/>
      </c>
      <c r="T18" s="73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  <row r="19" spans="1:20" x14ac:dyDescent="0.3">
      <c r="A19" s="50">
        <v>45994</v>
      </c>
      <c r="B19" s="52" t="s">
        <v>294</v>
      </c>
      <c r="C19" s="73" t="s">
        <v>842</v>
      </c>
      <c r="D19" s="73" t="s">
        <v>835</v>
      </c>
      <c r="E19" s="73" t="s">
        <v>843</v>
      </c>
      <c r="F19" s="73" t="s">
        <v>559</v>
      </c>
      <c r="G19" s="73" t="s">
        <v>786</v>
      </c>
      <c r="H19" s="73">
        <v>490</v>
      </c>
      <c r="I19" s="73">
        <v>490</v>
      </c>
      <c r="J19" s="73">
        <v>370</v>
      </c>
      <c r="K19" s="73" t="s">
        <v>835</v>
      </c>
      <c r="L19" s="73" t="s">
        <v>837</v>
      </c>
      <c r="M19" s="73" t="s">
        <v>843</v>
      </c>
      <c r="N19" s="73" t="s">
        <v>844</v>
      </c>
      <c r="O19" s="44">
        <v>2</v>
      </c>
      <c r="P19" s="98"/>
      <c r="Q19" s="73">
        <v>370</v>
      </c>
      <c r="R19" s="99">
        <v>120</v>
      </c>
      <c r="S19" s="100" t="str">
        <f>IF(SUMPRODUCT((e_makara[[#Headers],[MAKARA NO]]=e_2[[#This Row],[Makara Numarası]])*(e_makara[[#Headers],[Kalan]]&lt;0))&gt;0,
    "HATA VAR",
    "")</f>
        <v/>
      </c>
      <c r="T19" s="100" t="str">
        <f>IFERROR(
   IF(
      (COUNTIF(e_2[[#This Row],[Kablo Tipi]],"*(H)*")&gt;0) =
      (INDEX(e_makara[Kablo Cinsi],MATCH(e_2[[#This Row],[Makara Numarası]],e_makara[MAKARA NO],0))="LSZH"),
      "",
      "HATA VAR"
   ),
"HATA VAR")</f>
        <v/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F899-A4DB-4854-AB29-20496F9C943E}">
  <dimension ref="A1:D104"/>
  <sheetViews>
    <sheetView tabSelected="1" topLeftCell="A51" workbookViewId="0">
      <selection activeCell="E11" sqref="E11"/>
    </sheetView>
  </sheetViews>
  <sheetFormatPr defaultRowHeight="14.4" x14ac:dyDescent="0.3"/>
  <cols>
    <col min="1" max="1" width="8.33203125" bestFit="1" customWidth="1"/>
    <col min="2" max="2" width="10.77734375" bestFit="1" customWidth="1"/>
    <col min="3" max="3" width="18" bestFit="1" customWidth="1"/>
    <col min="4" max="4" width="17" bestFit="1" customWidth="1"/>
  </cols>
  <sheetData>
    <row r="1" spans="1:4" x14ac:dyDescent="0.3">
      <c r="A1" s="1" t="s">
        <v>820</v>
      </c>
      <c r="B1" s="1" t="s">
        <v>822</v>
      </c>
      <c r="C1" s="1" t="s">
        <v>823</v>
      </c>
      <c r="D1" s="1" t="s">
        <v>824</v>
      </c>
    </row>
    <row r="2" spans="1:4" x14ac:dyDescent="0.3">
      <c r="A2" s="1">
        <v>1</v>
      </c>
      <c r="B2" s="1" t="s">
        <v>69</v>
      </c>
      <c r="C2" s="2" t="s">
        <v>0</v>
      </c>
      <c r="D2" s="1" t="s">
        <v>575</v>
      </c>
    </row>
    <row r="3" spans="1:4" x14ac:dyDescent="0.3">
      <c r="A3" s="1">
        <v>1</v>
      </c>
      <c r="B3" s="1" t="s">
        <v>77</v>
      </c>
      <c r="C3" s="1" t="s">
        <v>575</v>
      </c>
      <c r="D3" s="1" t="s">
        <v>574</v>
      </c>
    </row>
    <row r="4" spans="1:4" x14ac:dyDescent="0.3">
      <c r="A4" s="1">
        <v>1</v>
      </c>
      <c r="B4" s="1" t="s">
        <v>83</v>
      </c>
      <c r="C4" s="1" t="s">
        <v>574</v>
      </c>
      <c r="D4" s="1" t="s">
        <v>572</v>
      </c>
    </row>
    <row r="5" spans="1:4" x14ac:dyDescent="0.3">
      <c r="A5" s="1">
        <v>1</v>
      </c>
      <c r="B5" s="1" t="s">
        <v>571</v>
      </c>
      <c r="C5" s="1" t="s">
        <v>572</v>
      </c>
      <c r="D5" s="2" t="s">
        <v>0</v>
      </c>
    </row>
    <row r="6" spans="1:4" x14ac:dyDescent="0.3">
      <c r="A6" s="1">
        <v>1</v>
      </c>
      <c r="B6" s="1" t="s">
        <v>570</v>
      </c>
      <c r="C6" s="2" t="s">
        <v>0</v>
      </c>
      <c r="D6" s="1" t="s">
        <v>568</v>
      </c>
    </row>
    <row r="7" spans="1:4" x14ac:dyDescent="0.3">
      <c r="A7" s="1">
        <v>1</v>
      </c>
      <c r="B7" s="1" t="s">
        <v>89</v>
      </c>
      <c r="C7" s="1" t="s">
        <v>568</v>
      </c>
      <c r="D7" s="2" t="s">
        <v>0</v>
      </c>
    </row>
    <row r="8" spans="1:4" x14ac:dyDescent="0.3">
      <c r="A8" s="1">
        <v>1</v>
      </c>
      <c r="B8" s="1" t="s">
        <v>577</v>
      </c>
      <c r="C8" s="2" t="s">
        <v>0</v>
      </c>
      <c r="D8" s="1" t="s">
        <v>562</v>
      </c>
    </row>
    <row r="9" spans="1:4" x14ac:dyDescent="0.3">
      <c r="A9" s="1">
        <v>1</v>
      </c>
      <c r="B9" s="1" t="s">
        <v>89</v>
      </c>
      <c r="C9" s="1" t="s">
        <v>562</v>
      </c>
      <c r="D9" s="1" t="s">
        <v>568</v>
      </c>
    </row>
    <row r="10" spans="1:4" x14ac:dyDescent="0.3">
      <c r="A10" s="1">
        <v>1</v>
      </c>
      <c r="B10" s="1" t="s">
        <v>95</v>
      </c>
      <c r="C10" s="1" t="s">
        <v>568</v>
      </c>
      <c r="D10" s="1" t="s">
        <v>562</v>
      </c>
    </row>
    <row r="11" spans="1:4" x14ac:dyDescent="0.3">
      <c r="A11" s="1">
        <v>1</v>
      </c>
      <c r="B11" s="1" t="s">
        <v>100</v>
      </c>
      <c r="C11" s="1" t="s">
        <v>562</v>
      </c>
      <c r="D11" s="1" t="s">
        <v>560</v>
      </c>
    </row>
    <row r="12" spans="1:4" x14ac:dyDescent="0.3">
      <c r="A12" s="1">
        <v>1</v>
      </c>
      <c r="B12" s="1" t="s">
        <v>4</v>
      </c>
      <c r="C12" s="1" t="s">
        <v>560</v>
      </c>
      <c r="D12" s="1" t="s">
        <v>580</v>
      </c>
    </row>
    <row r="13" spans="1:4" x14ac:dyDescent="0.3">
      <c r="A13" s="1">
        <v>1</v>
      </c>
      <c r="B13" s="1" t="s">
        <v>110</v>
      </c>
      <c r="C13" s="1" t="s">
        <v>580</v>
      </c>
      <c r="D13" s="1" t="s">
        <v>579</v>
      </c>
    </row>
    <row r="14" spans="1:4" x14ac:dyDescent="0.3">
      <c r="A14" s="1">
        <v>1</v>
      </c>
      <c r="B14" s="1" t="s">
        <v>115</v>
      </c>
      <c r="C14" s="1" t="s">
        <v>579</v>
      </c>
      <c r="D14" s="1" t="s">
        <v>579</v>
      </c>
    </row>
    <row r="15" spans="1:4" x14ac:dyDescent="0.3">
      <c r="A15" s="1">
        <v>1</v>
      </c>
      <c r="B15" s="1" t="s">
        <v>126</v>
      </c>
      <c r="C15" s="1" t="s">
        <v>579</v>
      </c>
      <c r="D15" s="1" t="s">
        <v>582</v>
      </c>
    </row>
    <row r="16" spans="1:4" x14ac:dyDescent="0.3">
      <c r="A16" s="1">
        <v>1</v>
      </c>
      <c r="B16" s="1" t="s">
        <v>584</v>
      </c>
      <c r="C16" s="1" t="s">
        <v>582</v>
      </c>
      <c r="D16" s="1" t="s">
        <v>585</v>
      </c>
    </row>
    <row r="17" spans="1:4" x14ac:dyDescent="0.3">
      <c r="A17" s="1">
        <v>1</v>
      </c>
      <c r="B17" s="1" t="s">
        <v>586</v>
      </c>
      <c r="C17" s="1" t="s">
        <v>585</v>
      </c>
      <c r="D17" s="1" t="s">
        <v>585</v>
      </c>
    </row>
    <row r="18" spans="1:4" x14ac:dyDescent="0.3">
      <c r="A18" s="1">
        <v>1</v>
      </c>
      <c r="B18" s="1" t="s">
        <v>588</v>
      </c>
      <c r="C18" s="1" t="s">
        <v>585</v>
      </c>
      <c r="D18" s="1" t="s">
        <v>589</v>
      </c>
    </row>
    <row r="19" spans="1:4" x14ac:dyDescent="0.3">
      <c r="A19" s="1">
        <v>1</v>
      </c>
      <c r="B19" s="1" t="s">
        <v>135</v>
      </c>
      <c r="C19" s="1" t="s">
        <v>589</v>
      </c>
      <c r="D19" s="1" t="s">
        <v>589</v>
      </c>
    </row>
    <row r="20" spans="1:4" x14ac:dyDescent="0.3">
      <c r="A20" s="1">
        <v>1</v>
      </c>
      <c r="B20" s="1" t="s">
        <v>140</v>
      </c>
      <c r="C20" s="1" t="s">
        <v>589</v>
      </c>
      <c r="D20" s="2" t="s">
        <v>0</v>
      </c>
    </row>
    <row r="21" spans="1:4" x14ac:dyDescent="0.3">
      <c r="A21" s="1">
        <v>1</v>
      </c>
      <c r="B21" s="1" t="s">
        <v>474</v>
      </c>
      <c r="C21" s="2" t="s">
        <v>0</v>
      </c>
      <c r="D21" s="1" t="s">
        <v>591</v>
      </c>
    </row>
    <row r="22" spans="1:4" x14ac:dyDescent="0.3">
      <c r="A22" s="1">
        <v>1</v>
      </c>
      <c r="B22" s="1" t="s">
        <v>592</v>
      </c>
      <c r="C22" s="1" t="s">
        <v>591</v>
      </c>
      <c r="D22" s="1" t="s">
        <v>591</v>
      </c>
    </row>
    <row r="23" spans="1:4" x14ac:dyDescent="0.3">
      <c r="A23" s="1">
        <v>1</v>
      </c>
      <c r="B23" s="1" t="s">
        <v>595</v>
      </c>
      <c r="C23" s="1" t="s">
        <v>591</v>
      </c>
      <c r="D23" s="1" t="s">
        <v>596</v>
      </c>
    </row>
    <row r="24" spans="1:4" x14ac:dyDescent="0.3">
      <c r="A24" s="1">
        <v>1</v>
      </c>
      <c r="B24" s="1" t="s">
        <v>597</v>
      </c>
      <c r="C24" s="1" t="s">
        <v>596</v>
      </c>
      <c r="D24" s="1" t="s">
        <v>598</v>
      </c>
    </row>
    <row r="25" spans="1:4" x14ac:dyDescent="0.3">
      <c r="A25" s="1">
        <v>1</v>
      </c>
      <c r="B25" s="1" t="s">
        <v>173</v>
      </c>
      <c r="C25" s="1" t="s">
        <v>598</v>
      </c>
      <c r="D25" s="1" t="s">
        <v>598</v>
      </c>
    </row>
    <row r="26" spans="1:4" x14ac:dyDescent="0.3">
      <c r="A26" s="1">
        <v>1</v>
      </c>
      <c r="B26" s="1" t="s">
        <v>600</v>
      </c>
      <c r="C26" s="1" t="s">
        <v>598</v>
      </c>
      <c r="D26" s="1" t="s">
        <v>598</v>
      </c>
    </row>
    <row r="27" spans="1:4" x14ac:dyDescent="0.3">
      <c r="A27" s="1">
        <v>1</v>
      </c>
      <c r="B27" s="1" t="s">
        <v>603</v>
      </c>
      <c r="C27" s="1" t="s">
        <v>598</v>
      </c>
      <c r="D27" s="1" t="s">
        <v>604</v>
      </c>
    </row>
    <row r="28" spans="1:4" x14ac:dyDescent="0.3">
      <c r="A28" s="1">
        <v>1</v>
      </c>
      <c r="B28" s="1" t="s">
        <v>166</v>
      </c>
      <c r="C28" s="1" t="s">
        <v>604</v>
      </c>
      <c r="D28" s="1" t="s">
        <v>604</v>
      </c>
    </row>
    <row r="29" spans="1:4" x14ac:dyDescent="0.3">
      <c r="A29" s="1">
        <v>1</v>
      </c>
      <c r="B29" s="1" t="s">
        <v>607</v>
      </c>
      <c r="C29" s="1" t="s">
        <v>604</v>
      </c>
      <c r="D29" s="1" t="s">
        <v>589</v>
      </c>
    </row>
    <row r="30" spans="1:4" x14ac:dyDescent="0.3">
      <c r="A30" s="1">
        <v>1</v>
      </c>
      <c r="B30" s="1" t="s">
        <v>164</v>
      </c>
      <c r="C30" s="1" t="s">
        <v>589</v>
      </c>
      <c r="D30" s="1" t="s">
        <v>610</v>
      </c>
    </row>
    <row r="31" spans="1:4" x14ac:dyDescent="0.3">
      <c r="A31" s="1">
        <v>1</v>
      </c>
      <c r="B31" s="1" t="s">
        <v>177</v>
      </c>
      <c r="C31" s="1" t="s">
        <v>610</v>
      </c>
      <c r="D31" s="1" t="s">
        <v>610</v>
      </c>
    </row>
    <row r="32" spans="1:4" x14ac:dyDescent="0.3">
      <c r="A32" s="1">
        <v>1</v>
      </c>
      <c r="B32" s="1" t="s">
        <v>6</v>
      </c>
      <c r="C32" s="1" t="s">
        <v>610</v>
      </c>
      <c r="D32" s="1" t="s">
        <v>612</v>
      </c>
    </row>
    <row r="33" spans="1:4" x14ac:dyDescent="0.3">
      <c r="A33" s="1">
        <v>1</v>
      </c>
      <c r="B33" s="1" t="s">
        <v>181</v>
      </c>
      <c r="C33" s="1" t="s">
        <v>612</v>
      </c>
      <c r="D33" s="1" t="s">
        <v>613</v>
      </c>
    </row>
    <row r="34" spans="1:4" x14ac:dyDescent="0.3">
      <c r="A34" s="1">
        <v>1</v>
      </c>
      <c r="B34" s="1" t="s">
        <v>825</v>
      </c>
      <c r="C34" s="1" t="s">
        <v>613</v>
      </c>
      <c r="D34" s="1" t="s">
        <v>574</v>
      </c>
    </row>
    <row r="35" spans="1:4" x14ac:dyDescent="0.3">
      <c r="A35" s="1">
        <v>1</v>
      </c>
      <c r="B35" s="1" t="s">
        <v>184</v>
      </c>
      <c r="C35" s="1" t="s">
        <v>574</v>
      </c>
      <c r="D35" s="1" t="s">
        <v>615</v>
      </c>
    </row>
    <row r="36" spans="1:4" x14ac:dyDescent="0.3">
      <c r="A36" s="1">
        <v>1</v>
      </c>
      <c r="B36" s="1" t="s">
        <v>187</v>
      </c>
      <c r="C36" s="1" t="s">
        <v>615</v>
      </c>
      <c r="D36" s="1" t="s">
        <v>618</v>
      </c>
    </row>
    <row r="37" spans="1:4" x14ac:dyDescent="0.3">
      <c r="A37" s="1">
        <v>1</v>
      </c>
      <c r="B37" s="1" t="s">
        <v>189</v>
      </c>
      <c r="C37" s="1" t="s">
        <v>618</v>
      </c>
      <c r="D37" s="2" t="s">
        <v>610</v>
      </c>
    </row>
    <row r="38" spans="1:4" x14ac:dyDescent="0.3">
      <c r="A38" s="1">
        <v>1</v>
      </c>
      <c r="B38" s="1" t="s">
        <v>192</v>
      </c>
      <c r="C38" s="1" t="s">
        <v>610</v>
      </c>
      <c r="D38" s="2" t="s">
        <v>0</v>
      </c>
    </row>
    <row r="39" spans="1:4" x14ac:dyDescent="0.3">
      <c r="A39" s="1">
        <v>1</v>
      </c>
      <c r="B39" s="1" t="s">
        <v>209</v>
      </c>
      <c r="C39" s="2" t="s">
        <v>0</v>
      </c>
      <c r="D39" s="1" t="s">
        <v>630</v>
      </c>
    </row>
    <row r="40" spans="1:4" x14ac:dyDescent="0.3">
      <c r="A40" s="1">
        <v>1</v>
      </c>
      <c r="B40" s="1" t="s">
        <v>212</v>
      </c>
      <c r="C40" s="1" t="s">
        <v>630</v>
      </c>
      <c r="D40" s="1" t="s">
        <v>630</v>
      </c>
    </row>
    <row r="41" spans="1:4" x14ac:dyDescent="0.3">
      <c r="A41" s="1">
        <v>1</v>
      </c>
      <c r="B41" s="1" t="s">
        <v>215</v>
      </c>
      <c r="C41" s="1" t="s">
        <v>630</v>
      </c>
      <c r="D41" s="2" t="s">
        <v>0</v>
      </c>
    </row>
    <row r="42" spans="1:4" x14ac:dyDescent="0.3">
      <c r="A42" s="1">
        <v>1</v>
      </c>
      <c r="B42" s="1" t="s">
        <v>8</v>
      </c>
      <c r="C42" s="2" t="s">
        <v>0</v>
      </c>
      <c r="D42" s="1" t="s">
        <v>645</v>
      </c>
    </row>
    <row r="43" spans="1:4" x14ac:dyDescent="0.3">
      <c r="A43" s="1">
        <v>1</v>
      </c>
      <c r="B43" s="1" t="s">
        <v>231</v>
      </c>
      <c r="C43" s="1" t="s">
        <v>645</v>
      </c>
      <c r="D43" s="2" t="s">
        <v>0</v>
      </c>
    </row>
    <row r="44" spans="1:4" x14ac:dyDescent="0.3">
      <c r="A44" s="1">
        <v>1</v>
      </c>
      <c r="B44" s="1" t="s">
        <v>235</v>
      </c>
      <c r="C44" s="2" t="s">
        <v>0</v>
      </c>
      <c r="D44" s="1" t="s">
        <v>636</v>
      </c>
    </row>
    <row r="45" spans="1:4" x14ac:dyDescent="0.3">
      <c r="A45" s="1">
        <v>1</v>
      </c>
      <c r="B45" s="1" t="s">
        <v>637</v>
      </c>
      <c r="C45" s="1" t="s">
        <v>636</v>
      </c>
      <c r="D45" s="1" t="s">
        <v>638</v>
      </c>
    </row>
    <row r="46" spans="1:4" x14ac:dyDescent="0.3">
      <c r="A46" s="1">
        <v>1</v>
      </c>
      <c r="B46" s="1" t="s">
        <v>236</v>
      </c>
      <c r="C46" s="1" t="s">
        <v>638</v>
      </c>
      <c r="D46" s="1" t="s">
        <v>638</v>
      </c>
    </row>
    <row r="47" spans="1:4" x14ac:dyDescent="0.3">
      <c r="A47" s="1">
        <v>1</v>
      </c>
      <c r="B47" s="1" t="s">
        <v>245</v>
      </c>
      <c r="C47" s="1" t="s">
        <v>638</v>
      </c>
      <c r="D47" s="1" t="s">
        <v>640</v>
      </c>
    </row>
    <row r="48" spans="1:4" x14ac:dyDescent="0.3">
      <c r="A48" s="1">
        <v>1</v>
      </c>
      <c r="B48" s="1" t="s">
        <v>244</v>
      </c>
      <c r="C48" s="1" t="s">
        <v>640</v>
      </c>
      <c r="D48" s="1" t="s">
        <v>642</v>
      </c>
    </row>
    <row r="49" spans="1:4" x14ac:dyDescent="0.3">
      <c r="A49" s="1">
        <v>1</v>
      </c>
      <c r="B49" s="1" t="s">
        <v>643</v>
      </c>
      <c r="C49" s="1" t="s">
        <v>642</v>
      </c>
      <c r="D49" s="2" t="s">
        <v>0</v>
      </c>
    </row>
    <row r="50" spans="1:4" x14ac:dyDescent="0.3">
      <c r="A50" s="1">
        <v>1</v>
      </c>
      <c r="B50" s="1" t="s">
        <v>646</v>
      </c>
      <c r="C50" s="2" t="s">
        <v>0</v>
      </c>
      <c r="D50" s="1" t="s">
        <v>645</v>
      </c>
    </row>
    <row r="51" spans="1:4" x14ac:dyDescent="0.3">
      <c r="A51" s="1">
        <v>1</v>
      </c>
      <c r="B51" s="1" t="s">
        <v>248</v>
      </c>
      <c r="C51" s="1" t="s">
        <v>645</v>
      </c>
      <c r="D51" s="2" t="s">
        <v>0</v>
      </c>
    </row>
    <row r="52" spans="1:4" x14ac:dyDescent="0.3">
      <c r="A52" s="1">
        <v>1</v>
      </c>
      <c r="B52" s="1" t="s">
        <v>251</v>
      </c>
      <c r="C52" s="2" t="s">
        <v>0</v>
      </c>
      <c r="D52" s="1" t="s">
        <v>645</v>
      </c>
    </row>
    <row r="53" spans="1:4" x14ac:dyDescent="0.3">
      <c r="A53" s="1">
        <v>1</v>
      </c>
      <c r="B53" s="1" t="s">
        <v>257</v>
      </c>
      <c r="C53" s="1" t="s">
        <v>645</v>
      </c>
      <c r="D53" s="1" t="s">
        <v>649</v>
      </c>
    </row>
    <row r="54" spans="1:4" x14ac:dyDescent="0.3">
      <c r="A54" s="1">
        <v>1</v>
      </c>
      <c r="B54" s="1" t="s">
        <v>650</v>
      </c>
      <c r="C54" s="1" t="s">
        <v>649</v>
      </c>
      <c r="D54" s="1" t="s">
        <v>651</v>
      </c>
    </row>
    <row r="55" spans="1:4" x14ac:dyDescent="0.3">
      <c r="A55" s="1">
        <v>1</v>
      </c>
      <c r="B55" s="1" t="s">
        <v>652</v>
      </c>
      <c r="C55" s="1" t="s">
        <v>651</v>
      </c>
      <c r="D55" s="1" t="s">
        <v>653</v>
      </c>
    </row>
    <row r="56" spans="1:4" x14ac:dyDescent="0.3">
      <c r="A56" s="1">
        <v>1</v>
      </c>
      <c r="B56" s="1" t="s">
        <v>654</v>
      </c>
      <c r="C56" s="1" t="s">
        <v>653</v>
      </c>
      <c r="D56" s="1" t="s">
        <v>661</v>
      </c>
    </row>
    <row r="57" spans="1:4" x14ac:dyDescent="0.3">
      <c r="A57" s="1">
        <v>1</v>
      </c>
      <c r="B57" s="1" t="s">
        <v>260</v>
      </c>
      <c r="C57" s="1" t="s">
        <v>661</v>
      </c>
      <c r="D57" s="1" t="s">
        <v>656</v>
      </c>
    </row>
    <row r="58" spans="1:4" x14ac:dyDescent="0.3">
      <c r="A58" s="1">
        <v>1</v>
      </c>
      <c r="B58" s="1" t="s">
        <v>274</v>
      </c>
      <c r="C58" s="1" t="s">
        <v>656</v>
      </c>
      <c r="D58" s="1" t="s">
        <v>656</v>
      </c>
    </row>
    <row r="59" spans="1:4" x14ac:dyDescent="0.3">
      <c r="A59" s="1">
        <v>1</v>
      </c>
      <c r="B59" s="1" t="s">
        <v>264</v>
      </c>
      <c r="C59" s="1" t="s">
        <v>656</v>
      </c>
      <c r="D59" s="2" t="s">
        <v>0</v>
      </c>
    </row>
    <row r="60" spans="1:4" x14ac:dyDescent="0.3">
      <c r="A60" s="1">
        <v>1</v>
      </c>
      <c r="B60" s="1" t="s">
        <v>658</v>
      </c>
      <c r="C60" s="2" t="s">
        <v>0</v>
      </c>
      <c r="D60" s="1" t="s">
        <v>656</v>
      </c>
    </row>
    <row r="61" spans="1:4" x14ac:dyDescent="0.3">
      <c r="A61" s="1">
        <v>1</v>
      </c>
      <c r="B61" s="1" t="s">
        <v>278</v>
      </c>
      <c r="C61" s="1" t="s">
        <v>656</v>
      </c>
      <c r="D61" s="1" t="s">
        <v>656</v>
      </c>
    </row>
    <row r="62" spans="1:4" x14ac:dyDescent="0.3">
      <c r="A62" s="1">
        <v>1</v>
      </c>
      <c r="B62" s="1" t="s">
        <v>659</v>
      </c>
      <c r="C62" s="1" t="s">
        <v>656</v>
      </c>
      <c r="D62" s="1" t="s">
        <v>664</v>
      </c>
    </row>
    <row r="63" spans="1:4" x14ac:dyDescent="0.3">
      <c r="A63" s="1">
        <v>1</v>
      </c>
      <c r="B63" s="1" t="s">
        <v>281</v>
      </c>
      <c r="C63" s="1" t="s">
        <v>664</v>
      </c>
      <c r="D63" s="1" t="s">
        <v>645</v>
      </c>
    </row>
    <row r="64" spans="1:4" x14ac:dyDescent="0.3">
      <c r="A64" s="1">
        <v>1</v>
      </c>
      <c r="B64" s="1" t="s">
        <v>1</v>
      </c>
      <c r="C64" s="1" t="s">
        <v>645</v>
      </c>
      <c r="D64" s="1" t="s">
        <v>665</v>
      </c>
    </row>
    <row r="65" spans="1:4" x14ac:dyDescent="0.3">
      <c r="A65" s="1">
        <v>1</v>
      </c>
      <c r="B65" s="1" t="s">
        <v>666</v>
      </c>
      <c r="C65" s="1" t="s">
        <v>665</v>
      </c>
      <c r="D65" s="1" t="s">
        <v>665</v>
      </c>
    </row>
    <row r="66" spans="1:4" x14ac:dyDescent="0.3">
      <c r="A66" s="1">
        <v>1</v>
      </c>
      <c r="B66" s="1" t="s">
        <v>669</v>
      </c>
      <c r="C66" s="1" t="s">
        <v>665</v>
      </c>
      <c r="D66" s="1" t="s">
        <v>670</v>
      </c>
    </row>
    <row r="67" spans="1:4" x14ac:dyDescent="0.3">
      <c r="A67" s="1">
        <v>1</v>
      </c>
      <c r="B67" s="1" t="s">
        <v>299</v>
      </c>
      <c r="C67" s="1" t="s">
        <v>670</v>
      </c>
      <c r="D67" s="1" t="s">
        <v>664</v>
      </c>
    </row>
    <row r="68" spans="1:4" x14ac:dyDescent="0.3">
      <c r="A68" s="1">
        <v>1</v>
      </c>
      <c r="B68" s="1" t="s">
        <v>297</v>
      </c>
      <c r="C68" s="1" t="s">
        <v>664</v>
      </c>
      <c r="D68" s="1" t="s">
        <v>664</v>
      </c>
    </row>
    <row r="69" spans="1:4" x14ac:dyDescent="0.3">
      <c r="A69" s="1">
        <v>1</v>
      </c>
      <c r="B69" s="1" t="s">
        <v>293</v>
      </c>
      <c r="C69" s="1" t="s">
        <v>664</v>
      </c>
      <c r="D69" s="2" t="s">
        <v>671</v>
      </c>
    </row>
    <row r="70" spans="1:4" x14ac:dyDescent="0.3">
      <c r="A70" s="1">
        <v>1</v>
      </c>
      <c r="B70" s="1" t="s">
        <v>292</v>
      </c>
      <c r="C70" s="1" t="s">
        <v>671</v>
      </c>
      <c r="D70" s="2" t="s">
        <v>0</v>
      </c>
    </row>
    <row r="71" spans="1:4" x14ac:dyDescent="0.3">
      <c r="A71" s="1">
        <v>1</v>
      </c>
      <c r="B71" s="1" t="s">
        <v>676</v>
      </c>
      <c r="C71" s="2" t="s">
        <v>0</v>
      </c>
      <c r="D71" s="1" t="s">
        <v>664</v>
      </c>
    </row>
    <row r="72" spans="1:4" x14ac:dyDescent="0.3">
      <c r="A72" s="1">
        <v>1</v>
      </c>
      <c r="B72" s="1" t="s">
        <v>287</v>
      </c>
      <c r="C72" s="1" t="s">
        <v>664</v>
      </c>
      <c r="D72" s="2" t="s">
        <v>0</v>
      </c>
    </row>
    <row r="73" spans="1:4" x14ac:dyDescent="0.3">
      <c r="A73" s="1">
        <v>1</v>
      </c>
      <c r="B73" s="1" t="s">
        <v>326</v>
      </c>
      <c r="C73" s="2" t="s">
        <v>0</v>
      </c>
      <c r="D73" s="1" t="s">
        <v>661</v>
      </c>
    </row>
    <row r="74" spans="1:4" x14ac:dyDescent="0.3">
      <c r="A74" s="1">
        <v>1</v>
      </c>
      <c r="B74" s="1" t="s">
        <v>324</v>
      </c>
      <c r="C74" s="1" t="s">
        <v>661</v>
      </c>
      <c r="D74" s="1" t="s">
        <v>682</v>
      </c>
    </row>
    <row r="75" spans="1:4" x14ac:dyDescent="0.3">
      <c r="A75" s="1">
        <v>1</v>
      </c>
      <c r="B75" s="1" t="s">
        <v>305</v>
      </c>
      <c r="C75" s="1" t="s">
        <v>682</v>
      </c>
      <c r="D75" s="1" t="s">
        <v>682</v>
      </c>
    </row>
    <row r="76" spans="1:4" x14ac:dyDescent="0.3">
      <c r="A76" s="1">
        <v>1</v>
      </c>
      <c r="B76" s="1" t="s">
        <v>306</v>
      </c>
      <c r="C76" s="1" t="s">
        <v>682</v>
      </c>
      <c r="D76" s="1" t="s">
        <v>682</v>
      </c>
    </row>
    <row r="77" spans="1:4" x14ac:dyDescent="0.3">
      <c r="A77" s="1">
        <v>1</v>
      </c>
      <c r="B77" s="1" t="s">
        <v>674</v>
      </c>
      <c r="C77" s="1" t="s">
        <v>682</v>
      </c>
      <c r="D77" s="1" t="s">
        <v>664</v>
      </c>
    </row>
    <row r="78" spans="1:4" x14ac:dyDescent="0.3">
      <c r="A78" s="1">
        <v>1</v>
      </c>
      <c r="B78" s="1" t="s">
        <v>309</v>
      </c>
      <c r="C78" s="1" t="s">
        <v>664</v>
      </c>
      <c r="D78" s="2" t="s">
        <v>0</v>
      </c>
    </row>
    <row r="79" spans="1:4" x14ac:dyDescent="0.3">
      <c r="A79" s="1">
        <v>1</v>
      </c>
      <c r="B79" s="1" t="s">
        <v>315</v>
      </c>
      <c r="C79" s="2" t="s">
        <v>0</v>
      </c>
      <c r="D79" s="1" t="s">
        <v>671</v>
      </c>
    </row>
    <row r="80" spans="1:4" x14ac:dyDescent="0.3">
      <c r="A80" s="1">
        <v>1</v>
      </c>
      <c r="B80" s="1" t="s">
        <v>672</v>
      </c>
      <c r="C80" s="1" t="s">
        <v>671</v>
      </c>
      <c r="D80" s="2" t="s">
        <v>0</v>
      </c>
    </row>
    <row r="81" spans="1:4" x14ac:dyDescent="0.3">
      <c r="A81" s="1">
        <v>2</v>
      </c>
      <c r="B81" s="1" t="s">
        <v>192</v>
      </c>
      <c r="C81" s="2" t="s">
        <v>0</v>
      </c>
      <c r="D81" s="1" t="s">
        <v>610</v>
      </c>
    </row>
    <row r="82" spans="1:4" x14ac:dyDescent="0.3">
      <c r="A82" s="1">
        <v>2</v>
      </c>
      <c r="B82" s="1" t="s">
        <v>826</v>
      </c>
      <c r="C82" s="1" t="s">
        <v>610</v>
      </c>
      <c r="D82" s="2" t="s">
        <v>0</v>
      </c>
    </row>
    <row r="83" spans="1:4" x14ac:dyDescent="0.3">
      <c r="A83" s="1">
        <v>2</v>
      </c>
      <c r="B83" s="1" t="s">
        <v>28</v>
      </c>
      <c r="C83" s="2" t="s">
        <v>0</v>
      </c>
      <c r="D83" s="1" t="s">
        <v>620</v>
      </c>
    </row>
    <row r="84" spans="1:4" x14ac:dyDescent="0.3">
      <c r="A84" s="1">
        <v>2</v>
      </c>
      <c r="B84" s="1" t="s">
        <v>621</v>
      </c>
      <c r="C84" s="1" t="s">
        <v>620</v>
      </c>
      <c r="D84" s="1" t="s">
        <v>618</v>
      </c>
    </row>
    <row r="85" spans="1:4" x14ac:dyDescent="0.3">
      <c r="A85" s="1">
        <v>2</v>
      </c>
      <c r="B85" s="1" t="s">
        <v>29</v>
      </c>
      <c r="C85" s="1" t="s">
        <v>618</v>
      </c>
      <c r="D85" s="2" t="s">
        <v>0</v>
      </c>
    </row>
    <row r="86" spans="1:4" x14ac:dyDescent="0.3">
      <c r="A86" s="1">
        <v>2</v>
      </c>
      <c r="B86" s="1" t="s">
        <v>30</v>
      </c>
      <c r="C86" s="2" t="s">
        <v>0</v>
      </c>
      <c r="D86" s="1" t="s">
        <v>623</v>
      </c>
    </row>
    <row r="87" spans="1:4" x14ac:dyDescent="0.3">
      <c r="A87" s="1">
        <v>2</v>
      </c>
      <c r="B87" s="1" t="s">
        <v>31</v>
      </c>
      <c r="C87" s="1" t="s">
        <v>623</v>
      </c>
      <c r="D87" s="1" t="s">
        <v>623</v>
      </c>
    </row>
    <row r="88" spans="1:4" x14ac:dyDescent="0.3">
      <c r="A88" s="1">
        <v>2</v>
      </c>
      <c r="B88" s="1" t="s">
        <v>32</v>
      </c>
      <c r="C88" s="1" t="s">
        <v>623</v>
      </c>
      <c r="D88" s="1" t="s">
        <v>623</v>
      </c>
    </row>
    <row r="89" spans="1:4" x14ac:dyDescent="0.3">
      <c r="A89" s="1">
        <v>2</v>
      </c>
      <c r="B89" s="1" t="s">
        <v>624</v>
      </c>
      <c r="C89" s="1" t="s">
        <v>623</v>
      </c>
      <c r="D89" s="1" t="s">
        <v>625</v>
      </c>
    </row>
    <row r="90" spans="1:4" x14ac:dyDescent="0.3">
      <c r="A90" s="1">
        <v>2</v>
      </c>
      <c r="B90" s="1" t="s">
        <v>626</v>
      </c>
      <c r="C90" s="1" t="s">
        <v>625</v>
      </c>
      <c r="D90" s="1" t="s">
        <v>562</v>
      </c>
    </row>
    <row r="91" spans="1:4" x14ac:dyDescent="0.3">
      <c r="A91" s="1">
        <v>2</v>
      </c>
      <c r="B91" s="1" t="s">
        <v>33</v>
      </c>
      <c r="C91" s="1" t="s">
        <v>562</v>
      </c>
      <c r="D91" s="1" t="s">
        <v>628</v>
      </c>
    </row>
    <row r="92" spans="1:4" x14ac:dyDescent="0.3">
      <c r="A92" s="1">
        <v>2</v>
      </c>
      <c r="B92" s="1" t="s">
        <v>629</v>
      </c>
      <c r="C92" s="1" t="s">
        <v>628</v>
      </c>
      <c r="D92" s="1" t="s">
        <v>630</v>
      </c>
    </row>
    <row r="93" spans="1:4" x14ac:dyDescent="0.3">
      <c r="A93" s="1">
        <v>2</v>
      </c>
      <c r="B93" s="1" t="s">
        <v>34</v>
      </c>
      <c r="C93" s="1" t="s">
        <v>630</v>
      </c>
      <c r="D93" s="1" t="s">
        <v>618</v>
      </c>
    </row>
    <row r="94" spans="1:4" x14ac:dyDescent="0.3">
      <c r="A94" s="1">
        <v>2</v>
      </c>
      <c r="B94" s="1" t="s">
        <v>209</v>
      </c>
      <c r="C94" s="1" t="s">
        <v>618</v>
      </c>
      <c r="D94" s="2" t="s">
        <v>0</v>
      </c>
    </row>
    <row r="95" spans="1:4" x14ac:dyDescent="0.3">
      <c r="A95" s="1">
        <v>2</v>
      </c>
      <c r="B95" s="1" t="s">
        <v>35</v>
      </c>
      <c r="C95" s="2" t="s">
        <v>0</v>
      </c>
      <c r="D95" s="1" t="s">
        <v>618</v>
      </c>
    </row>
    <row r="96" spans="1:4" x14ac:dyDescent="0.3">
      <c r="A96" s="1">
        <v>2</v>
      </c>
      <c r="B96" s="1" t="s">
        <v>633</v>
      </c>
      <c r="C96" s="1" t="s">
        <v>618</v>
      </c>
      <c r="D96" s="2" t="s">
        <v>0</v>
      </c>
    </row>
    <row r="97" spans="1:4" x14ac:dyDescent="0.3">
      <c r="A97" s="1">
        <v>2</v>
      </c>
      <c r="B97" s="1" t="s">
        <v>35</v>
      </c>
      <c r="C97" s="2" t="s">
        <v>0</v>
      </c>
      <c r="D97" s="1" t="s">
        <v>635</v>
      </c>
    </row>
    <row r="98" spans="1:4" x14ac:dyDescent="0.3">
      <c r="A98" s="1">
        <v>2</v>
      </c>
      <c r="B98" s="1" t="s">
        <v>36</v>
      </c>
      <c r="C98" s="1" t="s">
        <v>635</v>
      </c>
      <c r="D98" s="1" t="s">
        <v>630</v>
      </c>
    </row>
    <row r="99" spans="1:4" x14ac:dyDescent="0.3">
      <c r="A99" s="1">
        <v>2</v>
      </c>
      <c r="B99" s="1" t="s">
        <v>37</v>
      </c>
      <c r="C99" s="1" t="s">
        <v>630</v>
      </c>
      <c r="D99" s="1" t="s">
        <v>636</v>
      </c>
    </row>
    <row r="100" spans="1:4" x14ac:dyDescent="0.3">
      <c r="A100" s="1">
        <v>2</v>
      </c>
      <c r="B100" s="1" t="s">
        <v>8</v>
      </c>
      <c r="C100" s="1" t="s">
        <v>636</v>
      </c>
      <c r="D100" s="2" t="s">
        <v>0</v>
      </c>
    </row>
    <row r="101" spans="1:4" x14ac:dyDescent="0.3">
      <c r="A101" s="1">
        <v>2</v>
      </c>
      <c r="B101" s="1" t="s">
        <v>38</v>
      </c>
      <c r="C101" s="2" t="s">
        <v>0</v>
      </c>
      <c r="D101" s="1" t="s">
        <v>642</v>
      </c>
    </row>
    <row r="102" spans="1:4" x14ac:dyDescent="0.3">
      <c r="A102" s="1">
        <v>2</v>
      </c>
      <c r="B102" s="1" t="s">
        <v>371</v>
      </c>
      <c r="C102" s="1" t="s">
        <v>642</v>
      </c>
      <c r="D102" s="2" t="s">
        <v>0</v>
      </c>
    </row>
    <row r="103" spans="1:4" x14ac:dyDescent="0.3">
      <c r="A103" s="1">
        <v>2</v>
      </c>
      <c r="B103" s="1" t="s">
        <v>39</v>
      </c>
      <c r="C103" s="2" t="s">
        <v>0</v>
      </c>
      <c r="D103" s="1" t="s">
        <v>642</v>
      </c>
    </row>
    <row r="104" spans="1:4" x14ac:dyDescent="0.3">
      <c r="A104" s="1">
        <v>2</v>
      </c>
      <c r="B104" s="1" t="s">
        <v>40</v>
      </c>
      <c r="C104" s="1" t="s">
        <v>642</v>
      </c>
      <c r="D104" s="2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Özet</vt:lpstr>
      <vt:lpstr>FO MAKARALAR</vt:lpstr>
      <vt:lpstr>FO 24 HAT 1</vt:lpstr>
      <vt:lpstr>FO 24 HAT 2</vt:lpstr>
      <vt:lpstr>FO 288 HAT 1</vt:lpstr>
      <vt:lpstr>FO 288 HAT 2</vt:lpstr>
      <vt:lpstr>FO EK</vt:lpstr>
      <vt:lpstr>ENERJİ MAKARALAR</vt:lpstr>
      <vt:lpstr>Enerji Hat 1</vt:lpstr>
      <vt:lpstr>Enerji Hat 2</vt:lpstr>
      <vt:lpstr>EK ENERJİ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IBIS</dc:creator>
  <cp:lastModifiedBy>Furkan IBIS</cp:lastModifiedBy>
  <dcterms:created xsi:type="dcterms:W3CDTF">2015-06-05T18:19:34Z</dcterms:created>
  <dcterms:modified xsi:type="dcterms:W3CDTF">2025-12-04T09:37:28Z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ea6fd-ecf8-40a0-9960-a6e4f34bd79a_Enabled">
    <vt:lpwstr>true</vt:lpwstr>
  </property>
  <property fmtid="{D5CDD505-2E9C-101B-9397-08002B2CF9AE}" pid="3" name="MSIP_Label_2f8ea6fd-ecf8-40a0-9960-a6e4f34bd79a_SetDate">
    <vt:lpwstr>2025-12-02T07:34:35Z</vt:lpwstr>
  </property>
  <property fmtid="{D5CDD505-2E9C-101B-9397-08002B2CF9AE}" pid="4" name="MSIP_Label_2f8ea6fd-ecf8-40a0-9960-a6e4f34bd79a_Method">
    <vt:lpwstr>Privileged</vt:lpwstr>
  </property>
  <property fmtid="{D5CDD505-2E9C-101B-9397-08002B2CF9AE}" pid="5" name="MSIP_Label_2f8ea6fd-ecf8-40a0-9960-a6e4f34bd79a_Name">
    <vt:lpwstr>Çok Gizli (Top Secret)</vt:lpwstr>
  </property>
  <property fmtid="{D5CDD505-2E9C-101B-9397-08002B2CF9AE}" pid="6" name="MSIP_Label_2f8ea6fd-ecf8-40a0-9960-a6e4f34bd79a_SiteId">
    <vt:lpwstr>acbfa263-309d-4a52-b05d-64dc66c01131</vt:lpwstr>
  </property>
  <property fmtid="{D5CDD505-2E9C-101B-9397-08002B2CF9AE}" pid="7" name="MSIP_Label_2f8ea6fd-ecf8-40a0-9960-a6e4f34bd79a_ActionId">
    <vt:lpwstr>97850bd9-c79f-44e0-9923-6dfa707b9490</vt:lpwstr>
  </property>
  <property fmtid="{D5CDD505-2E9C-101B-9397-08002B2CF9AE}" pid="8" name="MSIP_Label_2f8ea6fd-ecf8-40a0-9960-a6e4f34bd79a_ContentBits">
    <vt:lpwstr>3</vt:lpwstr>
  </property>
  <property fmtid="{D5CDD505-2E9C-101B-9397-08002B2CF9AE}" pid="9" name="MSIP_Label_2f8ea6fd-ecf8-40a0-9960-a6e4f34bd79a_Tag">
    <vt:lpwstr>10, 0, 1, 1</vt:lpwstr>
  </property>
</Properties>
</file>