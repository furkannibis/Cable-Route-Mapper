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1.xml" ContentType="application/xml"/>
  <Override PartName="/customXml/itemProps1.xml" ContentType="application/vnd.openxmlformats-officedocument.customXmlProperties+xml"/>
  <Override PartName="/customXml/_rels/item1.xml.rels" ContentType="application/vnd.openxmlformats-package.relationship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Genel Özet" sheetId="1" state="visible" r:id="rId3"/>
    <sheet name="FO GELEN" sheetId="2" state="visible" r:id="rId4"/>
    <sheet name="FO SERİM" sheetId="3" state="visible" r:id="rId5"/>
    <sheet name="Hat 1 - 288 EK" sheetId="4" state="visible" r:id="rId6"/>
    <sheet name="Hat 2 - 288 EK" sheetId="5" state="visible" r:id="rId7"/>
    <sheet name="Hat 1 - 24 EK" sheetId="6" state="visible" r:id="rId8"/>
    <sheet name="Hat 2 - 24 EK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BCA480-740C-4A63-983F-A44763F0A501}" keepAlive="1" interval="0" name="Sorgu - serim" description="Çalışma kitabındaki 'serim' sorgusuna yönelik bağlantı." type="5" reconnectionMethod="1" refreshedVersion="0" minRefreshableVersion="0" savePassword="0" new="0" deleted="0" onlyUseConnectionFile="0" background="1" refreshOnLoad="0" saveData="0">
    <dbPr connection="Provider=Microsoft.Mashup.OleDb.1;Data Source=$Workbook$;Location=serim;Extended Properties=&quot;&quot;" command="SELECT * FROM [serim]"/>
  </connection>
</connections>
</file>

<file path=xl/sharedStrings.xml><?xml version="1.0" encoding="utf-8"?>
<sst xmlns="http://schemas.openxmlformats.org/spreadsheetml/2006/main" count="1914" uniqueCount="518">
  <si>
    <t xml:space="preserve">KABLO TİPİ</t>
  </si>
  <si>
    <t xml:space="preserve">TALEP EDİLEN (mt)</t>
  </si>
  <si>
    <t xml:space="preserve">GELEN METRAJ (mt)</t>
  </si>
  <si>
    <t xml:space="preserve">KALAN SİPARİŞ (mt)</t>
  </si>
  <si>
    <t xml:space="preserve">SERİM MİKTARI (mt)</t>
  </si>
  <si>
    <t xml:space="preserve">ELDE KALAN (mt)</t>
  </si>
  <si>
    <t xml:space="preserve">TALEP EDİLEN/GELEN ORANI</t>
  </si>
  <si>
    <t xml:space="preserve">GELEN/SERİM ORANI</t>
  </si>
  <si>
    <t xml:space="preserve">TALEP EDİLEN/SERİM ORANI</t>
  </si>
  <si>
    <t xml:space="preserve">288 CORE LSZH</t>
  </si>
  <si>
    <t xml:space="preserve">288 CORE PE</t>
  </si>
  <si>
    <t xml:space="preserve">24 CORE LSZH</t>
  </si>
  <si>
    <t xml:space="preserve">24 CORE PE</t>
  </si>
  <si>
    <t xml:space="preserve">GENEL YÜZDE</t>
  </si>
  <si>
    <t xml:space="preserve">KABLO CİNSİ</t>
  </si>
  <si>
    <t xml:space="preserve">CORE</t>
  </si>
  <si>
    <t xml:space="preserve">MAKARA NO</t>
  </si>
  <si>
    <t xml:space="preserve">UZUNLUK (mt)</t>
  </si>
  <si>
    <t xml:space="preserve">KALAN (mt)</t>
  </si>
  <si>
    <t xml:space="preserve">A-DQ</t>
  </si>
  <si>
    <t xml:space="preserve">TUR06250842-1</t>
  </si>
  <si>
    <t xml:space="preserve">TUR06250842-2</t>
  </si>
  <si>
    <t xml:space="preserve">TUR06250842-3</t>
  </si>
  <si>
    <t xml:space="preserve">A-DF</t>
  </si>
  <si>
    <t xml:space="preserve">TUR06250843-1</t>
  </si>
  <si>
    <t xml:space="preserve">TUR06250843-2</t>
  </si>
  <si>
    <t xml:space="preserve">TUR06250844-2</t>
  </si>
  <si>
    <t xml:space="preserve">TUR06250845-1</t>
  </si>
  <si>
    <t xml:space="preserve">TUR06250845-2</t>
  </si>
  <si>
    <t xml:space="preserve">TUR06250845-3</t>
  </si>
  <si>
    <t xml:space="preserve">TUR06250845-4</t>
  </si>
  <si>
    <t xml:space="preserve">TUR06250845-5</t>
  </si>
  <si>
    <t xml:space="preserve">TUR06250854-1</t>
  </si>
  <si>
    <t xml:space="preserve">TUR06250854-2</t>
  </si>
  <si>
    <t xml:space="preserve">TUR06250854-3</t>
  </si>
  <si>
    <t xml:space="preserve">TUR06250854-4</t>
  </si>
  <si>
    <t xml:space="preserve">TUR06250855-1</t>
  </si>
  <si>
    <t xml:space="preserve">TUR06250855-2</t>
  </si>
  <si>
    <t xml:space="preserve">TUR06250855-3</t>
  </si>
  <si>
    <t xml:space="preserve">TUR06250855-4</t>
  </si>
  <si>
    <t xml:space="preserve">TUR06250856-2</t>
  </si>
  <si>
    <t xml:space="preserve">TUR06250856-4</t>
  </si>
  <si>
    <t xml:space="preserve">TUR06250858-1</t>
  </si>
  <si>
    <t xml:space="preserve">TUR06250858-2</t>
  </si>
  <si>
    <t xml:space="preserve">TUR06250858-3</t>
  </si>
  <si>
    <t xml:space="preserve">TUR06250858-4</t>
  </si>
  <si>
    <t xml:space="preserve">TUR06250859-1</t>
  </si>
  <si>
    <t xml:space="preserve">TUR06250859-2</t>
  </si>
  <si>
    <t xml:space="preserve">TUR06250859-3</t>
  </si>
  <si>
    <t xml:space="preserve">TUR06250859-4</t>
  </si>
  <si>
    <t xml:space="preserve">TUR06250859-5</t>
  </si>
  <si>
    <t xml:space="preserve">TUR06250859-6</t>
  </si>
  <si>
    <t xml:space="preserve">TUR06250860-1</t>
  </si>
  <si>
    <t xml:space="preserve">TUR06250860-2</t>
  </si>
  <si>
    <t xml:space="preserve">TUR06250860-3</t>
  </si>
  <si>
    <t xml:space="preserve">TUR06250860-4</t>
  </si>
  <si>
    <t xml:space="preserve">TUR06250861-1</t>
  </si>
  <si>
    <t xml:space="preserve">TUR06250861-2</t>
  </si>
  <si>
    <t xml:space="preserve">TUR06250861-3</t>
  </si>
  <si>
    <t xml:space="preserve">TUR06250861-4</t>
  </si>
  <si>
    <t xml:space="preserve">TUR06250863-1</t>
  </si>
  <si>
    <t xml:space="preserve">TUR06250863-2</t>
  </si>
  <si>
    <t xml:space="preserve">TUR07250842-4</t>
  </si>
  <si>
    <t xml:space="preserve">TUR07250862-1</t>
  </si>
  <si>
    <t xml:space="preserve">TUR07250862-2</t>
  </si>
  <si>
    <t xml:space="preserve">TUR07250862-3</t>
  </si>
  <si>
    <t xml:space="preserve">TUR07250862-4</t>
  </si>
  <si>
    <t xml:space="preserve">TUR08250894-1</t>
  </si>
  <si>
    <t xml:space="preserve">TUR08250894-2</t>
  </si>
  <si>
    <t xml:space="preserve">TUR08250894-3</t>
  </si>
  <si>
    <t xml:space="preserve">TUR08250894-4</t>
  </si>
  <si>
    <t xml:space="preserve">TUR08250895-1</t>
  </si>
  <si>
    <t xml:space="preserve">TUR08250895-2</t>
  </si>
  <si>
    <t xml:space="preserve">TUR08250895-3</t>
  </si>
  <si>
    <t xml:space="preserve">TUR08250896-1</t>
  </si>
  <si>
    <t xml:space="preserve">TUR08250896-2</t>
  </si>
  <si>
    <t xml:space="preserve">TUR08250896-3</t>
  </si>
  <si>
    <t xml:space="preserve">TUR08250896-4</t>
  </si>
  <si>
    <t xml:space="preserve">TUR08250897-1</t>
  </si>
  <si>
    <t xml:space="preserve">TUR08250897-2</t>
  </si>
  <si>
    <t xml:space="preserve">TUR08250897-3</t>
  </si>
  <si>
    <t xml:space="preserve">TUR08250897-4</t>
  </si>
  <si>
    <t xml:space="preserve">TUR08250898-1</t>
  </si>
  <si>
    <t xml:space="preserve">TUR08250898-2</t>
  </si>
  <si>
    <t xml:space="preserve">TUR08250898-3</t>
  </si>
  <si>
    <t xml:space="preserve">TUR08250898-4</t>
  </si>
  <si>
    <t xml:space="preserve">TUR08250899-1</t>
  </si>
  <si>
    <t xml:space="preserve">TUR08250899-2</t>
  </si>
  <si>
    <t xml:space="preserve">TUR08250899-3</t>
  </si>
  <si>
    <t xml:space="preserve">TUR08250899-4</t>
  </si>
  <si>
    <t xml:space="preserve">TUR09250209-1</t>
  </si>
  <si>
    <t xml:space="preserve">TUR09250209-2</t>
  </si>
  <si>
    <t xml:space="preserve">TUR09250209-3</t>
  </si>
  <si>
    <t xml:space="preserve">TUR09250207-1</t>
  </si>
  <si>
    <t xml:space="preserve">TUR09250207-2</t>
  </si>
  <si>
    <t xml:space="preserve">TUR09250206-1</t>
  </si>
  <si>
    <t xml:space="preserve">TUR09250206-2</t>
  </si>
  <si>
    <t xml:space="preserve">TUR09250206-3</t>
  </si>
  <si>
    <t xml:space="preserve">TUR09250254-1</t>
  </si>
  <si>
    <t xml:space="preserve">TUR09250254-2</t>
  </si>
  <si>
    <t xml:space="preserve">TUR09250254-3</t>
  </si>
  <si>
    <t xml:space="preserve">TUR09250254-4</t>
  </si>
  <si>
    <t xml:space="preserve">TUR09250251-1</t>
  </si>
  <si>
    <t xml:space="preserve">TUR09250251-2</t>
  </si>
  <si>
    <t xml:space="preserve">TUR09250251-3</t>
  </si>
  <si>
    <t xml:space="preserve">TUR09250251-4</t>
  </si>
  <si>
    <t xml:space="preserve">TUR09250248-1</t>
  </si>
  <si>
    <t xml:space="preserve">TUR09250248-2</t>
  </si>
  <si>
    <t xml:space="preserve">TUR09250248-3</t>
  </si>
  <si>
    <t xml:space="preserve">TUR09250248-4</t>
  </si>
  <si>
    <t xml:space="preserve">TUR09250252-1</t>
  </si>
  <si>
    <t xml:space="preserve">TUR09250252-2</t>
  </si>
  <si>
    <t xml:space="preserve">TUR09250252-3</t>
  </si>
  <si>
    <t xml:space="preserve">TUR09250252-4</t>
  </si>
  <si>
    <t xml:space="preserve">TUR09250211-1</t>
  </si>
  <si>
    <t xml:space="preserve">TUR09250211-2</t>
  </si>
  <si>
    <t xml:space="preserve">TUR09250211-3</t>
  </si>
  <si>
    <t xml:space="preserve">TUR09250211-4</t>
  </si>
  <si>
    <t xml:space="preserve">TUR09250211-5</t>
  </si>
  <si>
    <t xml:space="preserve">TUR09250258-1</t>
  </si>
  <si>
    <t xml:space="preserve">TUR09250258-2</t>
  </si>
  <si>
    <t xml:space="preserve">TUR09250258-3</t>
  </si>
  <si>
    <t xml:space="preserve">TUR09250258-4</t>
  </si>
  <si>
    <t xml:space="preserve">TUR09250256-1</t>
  </si>
  <si>
    <t xml:space="preserve">TUR09250256-2</t>
  </si>
  <si>
    <t xml:space="preserve">TUR09250256-3</t>
  </si>
  <si>
    <t xml:space="preserve">TUR09250256-4</t>
  </si>
  <si>
    <t xml:space="preserve">TUR09250895-4</t>
  </si>
  <si>
    <t xml:space="preserve">Tarih</t>
  </si>
  <si>
    <t xml:space="preserve">Bina</t>
  </si>
  <si>
    <t xml:space="preserve">Kablo Etiketi</t>
  </si>
  <si>
    <t xml:space="preserve">Nereden</t>
  </si>
  <si>
    <t xml:space="preserve">Nereye</t>
  </si>
  <si>
    <t xml:space="preserve">Kablo Tipi</t>
  </si>
  <si>
    <t xml:space="preserve">Makara Numarası</t>
  </si>
  <si>
    <t xml:space="preserve">Makara Uzunluğu</t>
  </si>
  <si>
    <t xml:space="preserve">Makara Başlangıç</t>
  </si>
  <si>
    <t xml:space="preserve">Makara Bitiş</t>
  </si>
  <si>
    <t xml:space="preserve">Başlangıç Elemanı</t>
  </si>
  <si>
    <t xml:space="preserve">Başlangıç Km</t>
  </si>
  <si>
    <t xml:space="preserve">Bitiş Elemanı</t>
  </si>
  <si>
    <t xml:space="preserve">Bitiş Km</t>
  </si>
  <si>
    <t xml:space="preserve">Hat 1 / Hat 2</t>
  </si>
  <si>
    <t xml:space="preserve">Ek Km</t>
  </si>
  <si>
    <t xml:space="preserve">Makara Kalan Uzunluk</t>
  </si>
  <si>
    <t xml:space="preserve">Serim(m)</t>
  </si>
  <si>
    <t xml:space="preserve">Metraj Hatası</t>
  </si>
  <si>
    <t xml:space="preserve">Core Hatası</t>
  </si>
  <si>
    <t xml:space="preserve">Kılıf Hatası</t>
  </si>
  <si>
    <t xml:space="preserve">STB 08</t>
  </si>
  <si>
    <t xml:space="preserve">SATB08-SATB07</t>
  </si>
  <si>
    <t xml:space="preserve">SATB 08 58+913</t>
  </si>
  <si>
    <t xml:space="preserve">SATB 07 47+757</t>
  </si>
  <si>
    <t xml:space="preserve">288 F/O</t>
  </si>
  <si>
    <t xml:space="preserve">SATB 08 </t>
  </si>
  <si>
    <t xml:space="preserve">58+913</t>
  </si>
  <si>
    <t xml:space="preserve">SATB 07 </t>
  </si>
  <si>
    <t xml:space="preserve">47+757</t>
  </si>
  <si>
    <t xml:space="preserve">EK 56+990</t>
  </si>
  <si>
    <t xml:space="preserve">SATB 08 - POSTA BİNASI </t>
  </si>
  <si>
    <t xml:space="preserve">SATB 08 54+930</t>
  </si>
  <si>
    <t xml:space="preserve">POSTA BİNASI 52+467</t>
  </si>
  <si>
    <t xml:space="preserve">24 F/O</t>
  </si>
  <si>
    <t xml:space="preserve">SATB 08</t>
  </si>
  <si>
    <t xml:space="preserve">54+930</t>
  </si>
  <si>
    <t xml:space="preserve">EK 52+467</t>
  </si>
  <si>
    <t xml:space="preserve">52+467</t>
  </si>
  <si>
    <t xml:space="preserve">SATB 08-SATB 07</t>
  </si>
  <si>
    <t xml:space="preserve">56+990</t>
  </si>
  <si>
    <t xml:space="preserve">54+991</t>
  </si>
  <si>
    <t xml:space="preserve">EK 54+991</t>
  </si>
  <si>
    <t xml:space="preserve">FEC 0811 - FEC 0720</t>
  </si>
  <si>
    <t xml:space="preserve">FEC 0811 53+563</t>
  </si>
  <si>
    <t xml:space="preserve">FEC 0720 52+822 </t>
  </si>
  <si>
    <t xml:space="preserve">FEC 0811</t>
  </si>
  <si>
    <t xml:space="preserve">53+563</t>
  </si>
  <si>
    <t xml:space="preserve">FEC 0720</t>
  </si>
  <si>
    <t xml:space="preserve">52+822</t>
  </si>
  <si>
    <t xml:space="preserve">SATB 08 - SATB 07</t>
  </si>
  <si>
    <t xml:space="preserve">SATB 08 54+990</t>
  </si>
  <si>
    <t xml:space="preserve">SATB 07 53+000</t>
  </si>
  <si>
    <t xml:space="preserve">54+990</t>
  </si>
  <si>
    <t xml:space="preserve">EK 53+000</t>
  </si>
  <si>
    <t xml:space="preserve">53+000</t>
  </si>
  <si>
    <t xml:space="preserve">FEC 08-09 - FEC 08-11</t>
  </si>
  <si>
    <t xml:space="preserve">FEC 08-09 54+313</t>
  </si>
  <si>
    <t xml:space="preserve">FEC 08-11 53+563</t>
  </si>
  <si>
    <t xml:space="preserve">FEC 08-09</t>
  </si>
  <si>
    <t xml:space="preserve">54+313</t>
  </si>
  <si>
    <t xml:space="preserve">FEC 08-11</t>
  </si>
  <si>
    <t xml:space="preserve">FEC 08-07 - FEC08-09 </t>
  </si>
  <si>
    <t xml:space="preserve">FEC0807 55+106</t>
  </si>
  <si>
    <t xml:space="preserve">FEC0809 54+313</t>
  </si>
  <si>
    <t xml:space="preserve">FEC 08-07 </t>
  </si>
  <si>
    <t xml:space="preserve">55+106</t>
  </si>
  <si>
    <t xml:space="preserve">FEC08-05 -FEC08-07</t>
  </si>
  <si>
    <t xml:space="preserve">FEC 08-07 56+284</t>
  </si>
  <si>
    <t xml:space="preserve">FEC 0805 55+106</t>
  </si>
  <si>
    <t xml:space="preserve">FEC 08-07</t>
  </si>
  <si>
    <t xml:space="preserve">56+284</t>
  </si>
  <si>
    <t xml:space="preserve">FEC 08-05</t>
  </si>
  <si>
    <t xml:space="preserve">SATB08 - SATB07</t>
  </si>
  <si>
    <t xml:space="preserve">SATB07 54+990</t>
  </si>
  <si>
    <t xml:space="preserve">Ek</t>
  </si>
  <si>
    <t xml:space="preserve">56+967</t>
  </si>
  <si>
    <t xml:space="preserve">Ek 54+990</t>
  </si>
  <si>
    <t xml:space="preserve">FEC08-03 - FEC08-05</t>
  </si>
  <si>
    <t xml:space="preserve">FEC 08-03 57+073</t>
  </si>
  <si>
    <t xml:space="preserve">FEC 0805 56+284</t>
  </si>
  <si>
    <t xml:space="preserve">FEC 08-03</t>
  </si>
  <si>
    <t xml:space="preserve">57+073</t>
  </si>
  <si>
    <t xml:space="preserve">SATB 07 56+937</t>
  </si>
  <si>
    <t xml:space="preserve">Ek 56+967</t>
  </si>
  <si>
    <t xml:space="preserve">FEC08-01 CCTV - FEC08-03 </t>
  </si>
  <si>
    <t xml:space="preserve">FEC08-01 CCTV 57+698</t>
  </si>
  <si>
    <t xml:space="preserve">FEC08-03 57+073</t>
  </si>
  <si>
    <t xml:space="preserve">FEC08-01 CCTV</t>
  </si>
  <si>
    <t xml:space="preserve">57+698</t>
  </si>
  <si>
    <t xml:space="preserve">FEC 08-03 CCTV</t>
  </si>
  <si>
    <t xml:space="preserve">EK 54+945</t>
  </si>
  <si>
    <t xml:space="preserve">SATB 08 54+991</t>
  </si>
  <si>
    <t xml:space="preserve">SATB 07 52+970</t>
  </si>
  <si>
    <t xml:space="preserve">EK 52+970</t>
  </si>
  <si>
    <t xml:space="preserve">52+970</t>
  </si>
  <si>
    <t xml:space="preserve">SATB 08 - GSMR B01</t>
  </si>
  <si>
    <t xml:space="preserve">GSMR B01</t>
  </si>
  <si>
    <t xml:space="preserve">EK 60+644</t>
  </si>
  <si>
    <t xml:space="preserve">60+644</t>
  </si>
  <si>
    <t xml:space="preserve">SATB 08 - SATB 09</t>
  </si>
  <si>
    <t xml:space="preserve">SATB 09</t>
  </si>
  <si>
    <t xml:space="preserve">SATB08 - FEC08-01 CCTV</t>
  </si>
  <si>
    <t xml:space="preserve">FEC 08-01 CCTV</t>
  </si>
  <si>
    <t xml:space="preserve">FEC 0802 - SATB 08</t>
  </si>
  <si>
    <t xml:space="preserve">FEC 0802 59+519</t>
  </si>
  <si>
    <t xml:space="preserve">SATB 08 38+913</t>
  </si>
  <si>
    <t xml:space="preserve">FEC 0802</t>
  </si>
  <si>
    <t xml:space="preserve">59+519</t>
  </si>
  <si>
    <t xml:space="preserve">FEC 0804 - FEC 0802</t>
  </si>
  <si>
    <t xml:space="preserve">FEC 0804 60+136</t>
  </si>
  <si>
    <t xml:space="preserve">FEC 0804</t>
  </si>
  <si>
    <t xml:space="preserve">60+136</t>
  </si>
  <si>
    <t xml:space="preserve">STB 10</t>
  </si>
  <si>
    <t xml:space="preserve">TTB 09-GSMR B01</t>
  </si>
  <si>
    <t xml:space="preserve">TTB 09</t>
  </si>
  <si>
    <t xml:space="preserve">60+439</t>
  </si>
  <si>
    <t xml:space="preserve">60+474</t>
  </si>
  <si>
    <t xml:space="preserve">288 F/O (H)</t>
  </si>
  <si>
    <t xml:space="preserve">EK</t>
  </si>
  <si>
    <t xml:space="preserve">60+444</t>
  </si>
  <si>
    <t xml:space="preserve">62+439</t>
  </si>
  <si>
    <t xml:space="preserve">62+437</t>
  </si>
  <si>
    <t xml:space="preserve">FEC 08-06 - FEC 08-04</t>
  </si>
  <si>
    <t xml:space="preserve">FEC 08-06</t>
  </si>
  <si>
    <t xml:space="preserve">FEC 08-04</t>
  </si>
  <si>
    <t xml:space="preserve">60+440</t>
  </si>
  <si>
    <t xml:space="preserve">GSMR B01 - FEC 0808</t>
  </si>
  <si>
    <t xml:space="preserve">GSMR B01 60+474</t>
  </si>
  <si>
    <t xml:space="preserve">FEC 0808 61+639</t>
  </si>
  <si>
    <t xml:space="preserve">24 F/O (H)</t>
  </si>
  <si>
    <t xml:space="preserve">FEC 0808</t>
  </si>
  <si>
    <t xml:space="preserve">61+630</t>
  </si>
  <si>
    <t xml:space="preserve">SATB 09 64+460</t>
  </si>
  <si>
    <t xml:space="preserve">EK 64+460</t>
  </si>
  <si>
    <t xml:space="preserve">64+460</t>
  </si>
  <si>
    <t xml:space="preserve">FEC 0808 - GSMR B02</t>
  </si>
  <si>
    <t xml:space="preserve">GSMR B02 62+539</t>
  </si>
  <si>
    <t xml:space="preserve">GSMR B02</t>
  </si>
  <si>
    <t xml:space="preserve">62+539</t>
  </si>
  <si>
    <t xml:space="preserve">GSMR B02 - FEC 0810</t>
  </si>
  <si>
    <t xml:space="preserve">FEC 0810 63+022</t>
  </si>
  <si>
    <t xml:space="preserve">FEC 0810</t>
  </si>
  <si>
    <t xml:space="preserve">63+022</t>
  </si>
  <si>
    <t xml:space="preserve">STB 09</t>
  </si>
  <si>
    <t xml:space="preserve">EK 64+475</t>
  </si>
  <si>
    <t xml:space="preserve">64+475</t>
  </si>
  <si>
    <t xml:space="preserve">EK 64+428</t>
  </si>
  <si>
    <t xml:space="preserve">64+428</t>
  </si>
  <si>
    <t xml:space="preserve">EK 65+470</t>
  </si>
  <si>
    <t xml:space="preserve">66+470</t>
  </si>
  <si>
    <t xml:space="preserve">SATB 08 -SATB 09</t>
  </si>
  <si>
    <t xml:space="preserve">EK 66+467</t>
  </si>
  <si>
    <t xml:space="preserve">66+467</t>
  </si>
  <si>
    <t xml:space="preserve">FEC 0810 - FEC 0911 BTS11RRHA</t>
  </si>
  <si>
    <t xml:space="preserve">FEC 0911 BTS11RRHA 64+539</t>
  </si>
  <si>
    <t xml:space="preserve">FEC 0911 BTS11RRHA</t>
  </si>
  <si>
    <t xml:space="preserve">64+539</t>
  </si>
  <si>
    <t xml:space="preserve">GSMR A03 - FEC 0909</t>
  </si>
  <si>
    <t xml:space="preserve">GSMR A03 64+540</t>
  </si>
  <si>
    <t xml:space="preserve">FEC 0909 65+050</t>
  </si>
  <si>
    <t xml:space="preserve">GSMR A03</t>
  </si>
  <si>
    <t xml:space="preserve">64+540</t>
  </si>
  <si>
    <t xml:space="preserve">FEC 0909</t>
  </si>
  <si>
    <t xml:space="preserve">65+050</t>
  </si>
  <si>
    <t xml:space="preserve">FEC 0909 - TTB 11</t>
  </si>
  <si>
    <t xml:space="preserve">TTB 11 65+556</t>
  </si>
  <si>
    <t xml:space="preserve">TTB 11</t>
  </si>
  <si>
    <t xml:space="preserve">65+556</t>
  </si>
  <si>
    <t xml:space="preserve">EK 68+536</t>
  </si>
  <si>
    <t xml:space="preserve">68+536</t>
  </si>
  <si>
    <t xml:space="preserve">EK 68+480</t>
  </si>
  <si>
    <t xml:space="preserve">68+480</t>
  </si>
  <si>
    <t xml:space="preserve">TTB 11 - GSMR A02</t>
  </si>
  <si>
    <t xml:space="preserve">GSMR A02 66+539</t>
  </si>
  <si>
    <t xml:space="preserve">TTB 11 </t>
  </si>
  <si>
    <t xml:space="preserve">GSMR A02</t>
  </si>
  <si>
    <t xml:space="preserve">66+539</t>
  </si>
  <si>
    <t xml:space="preserve">FEC 0907 - GSMR A02</t>
  </si>
  <si>
    <t xml:space="preserve">FEC 0907 66+910</t>
  </si>
  <si>
    <t xml:space="preserve">GSMR A02 66+540</t>
  </si>
  <si>
    <t xml:space="preserve">FEC 0907</t>
  </si>
  <si>
    <t xml:space="preserve">66+910</t>
  </si>
  <si>
    <t xml:space="preserve">66+540</t>
  </si>
  <si>
    <t xml:space="preserve">FEC 0905 - FEC 0907</t>
  </si>
  <si>
    <t xml:space="preserve">FEC 0905 67+668</t>
  </si>
  <si>
    <t xml:space="preserve">FEC 0905</t>
  </si>
  <si>
    <t xml:space="preserve">67+668</t>
  </si>
  <si>
    <t xml:space="preserve">SATB 09 68+808</t>
  </si>
  <si>
    <t xml:space="preserve">68+500</t>
  </si>
  <si>
    <t xml:space="preserve">68+808</t>
  </si>
  <si>
    <t xml:space="preserve">GSMR A01 - FEC 0905</t>
  </si>
  <si>
    <t xml:space="preserve">GSMR A01 68+472</t>
  </si>
  <si>
    <t xml:space="preserve">GSMR A01</t>
  </si>
  <si>
    <t xml:space="preserve">68+472</t>
  </si>
  <si>
    <t xml:space="preserve">EK 68+500</t>
  </si>
  <si>
    <t xml:space="preserve">SATB 09 - SATB 10</t>
  </si>
  <si>
    <t xml:space="preserve">SATB 10</t>
  </si>
  <si>
    <t xml:space="preserve">EK 70+279</t>
  </si>
  <si>
    <t xml:space="preserve">70+279</t>
  </si>
  <si>
    <t xml:space="preserve">EK 70+650</t>
  </si>
  <si>
    <t xml:space="preserve">70+650</t>
  </si>
  <si>
    <t xml:space="preserve">SATB 09 - GSMR B02</t>
  </si>
  <si>
    <t xml:space="preserve">71+434</t>
  </si>
  <si>
    <t xml:space="preserve">GSMR A01 - FEC 0903</t>
  </si>
  <si>
    <t xml:space="preserve"> FEC 0903 68+736</t>
  </si>
  <si>
    <t xml:space="preserve">FEC 0903</t>
  </si>
  <si>
    <t xml:space="preserve">68+736</t>
  </si>
  <si>
    <t xml:space="preserve">SATB 09-FEC 0902</t>
  </si>
  <si>
    <t xml:space="preserve">FEC 0902</t>
  </si>
  <si>
    <t xml:space="preserve">68+830</t>
  </si>
  <si>
    <t xml:space="preserve">FEC 0902-FEC 0904</t>
  </si>
  <si>
    <t xml:space="preserve">FEC 0904</t>
  </si>
  <si>
    <t xml:space="preserve">69+150</t>
  </si>
  <si>
    <t xml:space="preserve">FEC 0904-FEC 0906</t>
  </si>
  <si>
    <t xml:space="preserve">FEC 0906</t>
  </si>
  <si>
    <t xml:space="preserve">69+480</t>
  </si>
  <si>
    <t xml:space="preserve">GSMR B01-FEC 0906</t>
  </si>
  <si>
    <t xml:space="preserve">69+754</t>
  </si>
  <si>
    <t xml:space="preserve">GSMR B01-FEC 0908</t>
  </si>
  <si>
    <t xml:space="preserve">FEC 0908</t>
  </si>
  <si>
    <t xml:space="preserve">70+085</t>
  </si>
  <si>
    <t xml:space="preserve">SATB 09-SATB 10</t>
  </si>
  <si>
    <t xml:space="preserve">70+729</t>
  </si>
  <si>
    <t xml:space="preserve">EK 71+390</t>
  </si>
  <si>
    <t xml:space="preserve">71+390</t>
  </si>
  <si>
    <t xml:space="preserve">SATB 09 -SATB 10</t>
  </si>
  <si>
    <t xml:space="preserve">EK 72+730</t>
  </si>
  <si>
    <t xml:space="preserve">72+730</t>
  </si>
  <si>
    <t xml:space="preserve">SATB09 GSMR B02-SATB10 GSMR A03</t>
  </si>
  <si>
    <t xml:space="preserve">SATB09 GSMR B02</t>
  </si>
  <si>
    <t xml:space="preserve">SATB10 GSMR A03</t>
  </si>
  <si>
    <t xml:space="preserve">SATB09GSMR B02</t>
  </si>
  <si>
    <t xml:space="preserve">72+657</t>
  </si>
  <si>
    <t xml:space="preserve">GSMR A03-FEC10-19</t>
  </si>
  <si>
    <t xml:space="preserve">FEC10-19</t>
  </si>
  <si>
    <t xml:space="preserve">73+140</t>
  </si>
  <si>
    <t xml:space="preserve">FEC10-19-FEC10-17</t>
  </si>
  <si>
    <t xml:space="preserve">FEC10-17</t>
  </si>
  <si>
    <t xml:space="preserve">73+479</t>
  </si>
  <si>
    <t xml:space="preserve">FEC10-17-FEC10-15</t>
  </si>
  <si>
    <t xml:space="preserve">FEC10-15</t>
  </si>
  <si>
    <t xml:space="preserve">73+660</t>
  </si>
  <si>
    <t xml:space="preserve">EK 74+709</t>
  </si>
  <si>
    <t xml:space="preserve">74+520</t>
  </si>
  <si>
    <t xml:space="preserve">EK 74+746</t>
  </si>
  <si>
    <t xml:space="preserve">74+746</t>
  </si>
  <si>
    <t xml:space="preserve">EK 76+480</t>
  </si>
  <si>
    <t xml:space="preserve">76+480</t>
  </si>
  <si>
    <t xml:space="preserve">FEC10-15-FEC10-13</t>
  </si>
  <si>
    <t xml:space="preserve">FEC10-13</t>
  </si>
  <si>
    <t xml:space="preserve">75+150</t>
  </si>
  <si>
    <t xml:space="preserve">FEC10-13-GMSR A02</t>
  </si>
  <si>
    <t xml:space="preserve">76+525</t>
  </si>
  <si>
    <t xml:space="preserve">FEC08-06-TTB 09</t>
  </si>
  <si>
    <t xml:space="preserve">FEC 0806</t>
  </si>
  <si>
    <t xml:space="preserve">EK 70+401</t>
  </si>
  <si>
    <t xml:space="preserve">70+401</t>
  </si>
  <si>
    <t xml:space="preserve">EK-TTB 13</t>
  </si>
  <si>
    <t xml:space="preserve">TTB 13</t>
  </si>
  <si>
    <t xml:space="preserve">TTB 13-EK</t>
  </si>
  <si>
    <t xml:space="preserve">EK 78+059</t>
  </si>
  <si>
    <t xml:space="preserve">78+059</t>
  </si>
  <si>
    <t xml:space="preserve">78+351</t>
  </si>
  <si>
    <t xml:space="preserve">GSMR A02-GSMR A01</t>
  </si>
  <si>
    <t xml:space="preserve">EK 76+525</t>
  </si>
  <si>
    <t xml:space="preserve">77+184</t>
  </si>
  <si>
    <t xml:space="preserve">GSMR A01-FEC10-03</t>
  </si>
  <si>
    <t xml:space="preserve">FEC10-03</t>
  </si>
  <si>
    <t xml:space="preserve">78+076</t>
  </si>
  <si>
    <t xml:space="preserve">EK-FEC10-09</t>
  </si>
  <si>
    <t xml:space="preserve">FEC10-09</t>
  </si>
  <si>
    <t xml:space="preserve">76+821</t>
  </si>
  <si>
    <t xml:space="preserve">FEC10-09-FEC10-07</t>
  </si>
  <si>
    <t xml:space="preserve">FEC10-07</t>
  </si>
  <si>
    <t xml:space="preserve">76+880</t>
  </si>
  <si>
    <t xml:space="preserve">FEC10-05-FEC10-07</t>
  </si>
  <si>
    <t xml:space="preserve">FEC10-05</t>
  </si>
  <si>
    <t xml:space="preserve">77+124</t>
  </si>
  <si>
    <t xml:space="preserve">TTB 14-FEC10-05</t>
  </si>
  <si>
    <t xml:space="preserve">TTB 14</t>
  </si>
  <si>
    <t xml:space="preserve">77+137</t>
  </si>
  <si>
    <t xml:space="preserve">ISITICI-SATB 10</t>
  </si>
  <si>
    <t xml:space="preserve">ISITICI 77+000</t>
  </si>
  <si>
    <t xml:space="preserve">SATB10 78+351</t>
  </si>
  <si>
    <t xml:space="preserve">77+000</t>
  </si>
  <si>
    <t xml:space="preserve">FEC10-03-FEC10-01</t>
  </si>
  <si>
    <t xml:space="preserve">78+175</t>
  </si>
  <si>
    <t xml:space="preserve">FEC10-01-SATB 10</t>
  </si>
  <si>
    <t xml:space="preserve">FEC10-01</t>
  </si>
  <si>
    <t xml:space="preserve">SATB 10- TBB 14</t>
  </si>
  <si>
    <t xml:space="preserve">SATB10</t>
  </si>
  <si>
    <t xml:space="preserve">FEC10-02-FEC10-04</t>
  </si>
  <si>
    <t xml:space="preserve">FEC10-02</t>
  </si>
  <si>
    <t xml:space="preserve">FEC10-04</t>
  </si>
  <si>
    <t xml:space="preserve">79+085</t>
  </si>
  <si>
    <t xml:space="preserve">79+355</t>
  </si>
  <si>
    <t xml:space="preserve">FEC10-02-SATB10</t>
  </si>
  <si>
    <t xml:space="preserve">SATB 11</t>
  </si>
  <si>
    <t xml:space="preserve">78+432</t>
  </si>
  <si>
    <t xml:space="preserve">FEC10-06-FEC10-08</t>
  </si>
  <si>
    <t xml:space="preserve">FEC10-06</t>
  </si>
  <si>
    <t xml:space="preserve">FEC10-08</t>
  </si>
  <si>
    <t xml:space="preserve">79+600</t>
  </si>
  <si>
    <t xml:space="preserve">80+129</t>
  </si>
  <si>
    <t xml:space="preserve">SATB10-SATB11</t>
  </si>
  <si>
    <t xml:space="preserve">SATB11</t>
  </si>
  <si>
    <t xml:space="preserve">TUK06250855-2</t>
  </si>
  <si>
    <t xml:space="preserve">79+908</t>
  </si>
  <si>
    <t xml:space="preserve">78+968</t>
  </si>
  <si>
    <t xml:space="preserve">TUR06250856-1</t>
  </si>
  <si>
    <t xml:space="preserve">81+908</t>
  </si>
  <si>
    <t xml:space="preserve">EK 79+908</t>
  </si>
  <si>
    <t xml:space="preserve">83+900</t>
  </si>
  <si>
    <t xml:space="preserve">EK 81+985</t>
  </si>
  <si>
    <t xml:space="preserve">ISITICI-</t>
  </si>
  <si>
    <t xml:space="preserve">ISITICI</t>
  </si>
  <si>
    <t xml:space="preserve">79+740</t>
  </si>
  <si>
    <t xml:space="preserve">79+325</t>
  </si>
  <si>
    <t xml:space="preserve">FEC10-08-FEC10-10</t>
  </si>
  <si>
    <t xml:space="preserve">FEC10-10</t>
  </si>
  <si>
    <t xml:space="preserve">81+330</t>
  </si>
  <si>
    <t xml:space="preserve">81+104</t>
  </si>
  <si>
    <t xml:space="preserve">FEC10-10-FEC10-16</t>
  </si>
  <si>
    <t xml:space="preserve">FEC10-16</t>
  </si>
  <si>
    <t xml:space="preserve">83+140</t>
  </si>
  <si>
    <t xml:space="preserve">FEC10-16-FEC11-09</t>
  </si>
  <si>
    <t xml:space="preserve">FEC11-09</t>
  </si>
  <si>
    <t xml:space="preserve">83+620</t>
  </si>
  <si>
    <t xml:space="preserve">81+985</t>
  </si>
  <si>
    <t xml:space="preserve">EK 79+992</t>
  </si>
  <si>
    <t xml:space="preserve">EK 81+908</t>
  </si>
  <si>
    <t xml:space="preserve">FEC10-04-FEC10-12</t>
  </si>
  <si>
    <t xml:space="preserve">FEC10-12</t>
  </si>
  <si>
    <t xml:space="preserve">82+260</t>
  </si>
  <si>
    <t xml:space="preserve">FEC10-12-FEC10-14</t>
  </si>
  <si>
    <t xml:space="preserve">FEC10-14</t>
  </si>
  <si>
    <t xml:space="preserve">82+825</t>
  </si>
  <si>
    <t xml:space="preserve">FEC11-09-TTB15</t>
  </si>
  <si>
    <t xml:space="preserve">TTB15</t>
  </si>
  <si>
    <t xml:space="preserve">83+911</t>
  </si>
  <si>
    <t xml:space="preserve">FEC10-14-EK</t>
  </si>
  <si>
    <t xml:space="preserve">TUR06250845-6</t>
  </si>
  <si>
    <t xml:space="preserve">STB 11</t>
  </si>
  <si>
    <t xml:space="preserve">79+992</t>
  </si>
  <si>
    <t xml:space="preserve">78+068</t>
  </si>
  <si>
    <t xml:space="preserve">TTB15-GSMRA01</t>
  </si>
  <si>
    <t xml:space="preserve">GSMRA01</t>
  </si>
  <si>
    <t xml:space="preserve">83+952</t>
  </si>
  <si>
    <t xml:space="preserve">FEC10-14-SATB 11</t>
  </si>
  <si>
    <t xml:space="preserve">86+455</t>
  </si>
  <si>
    <t xml:space="preserve">GSMR A01-TTB 16</t>
  </si>
  <si>
    <t xml:space="preserve">TTB 16</t>
  </si>
  <si>
    <t xml:space="preserve">86+405</t>
  </si>
  <si>
    <t xml:space="preserve">86+448</t>
  </si>
  <si>
    <t xml:space="preserve">SATB 10-SATB 11</t>
  </si>
  <si>
    <t xml:space="preserve">SATB 10 78+351</t>
  </si>
  <si>
    <t xml:space="preserve">SATB 11 80+025</t>
  </si>
  <si>
    <t xml:space="preserve">84+511</t>
  </si>
  <si>
    <t xml:space="preserve">SATB 11 80+026</t>
  </si>
  <si>
    <t xml:space="preserve">84+502</t>
  </si>
  <si>
    <t xml:space="preserve">GSMR A02-FEC11-05</t>
  </si>
  <si>
    <t xml:space="preserve">FEC11-05</t>
  </si>
  <si>
    <t xml:space="preserve">86+847</t>
  </si>
  <si>
    <t xml:space="preserve">87+126</t>
  </si>
  <si>
    <t xml:space="preserve">SATB 11-GSMR B03</t>
  </si>
  <si>
    <t xml:space="preserve">GSMR B03</t>
  </si>
  <si>
    <t xml:space="preserve">88+088</t>
  </si>
  <si>
    <t xml:space="preserve">88+025</t>
  </si>
  <si>
    <t xml:space="preserve">Aralık</t>
  </si>
  <si>
    <t xml:space="preserve">KM</t>
  </si>
  <si>
    <t xml:space="preserve">Azalan Kablo Tipi</t>
  </si>
  <si>
    <t xml:space="preserve">Azalan Makara No</t>
  </si>
  <si>
    <t xml:space="preserve">Artan Kablo Tipi</t>
  </si>
  <si>
    <t xml:space="preserve">Artan Makara No</t>
  </si>
  <si>
    <t xml:space="preserve">STB 07 – STB 08</t>
  </si>
  <si>
    <t xml:space="preserve">--</t>
  </si>
  <si>
    <t xml:space="preserve">STB 08 – STB 09</t>
  </si>
  <si>
    <t xml:space="preserve">65+470</t>
  </si>
  <si>
    <t xml:space="preserve">STB 09 – STB 10</t>
  </si>
  <si>
    <t xml:space="preserve">STB 10 – STB 11</t>
  </si>
  <si>
    <t xml:space="preserve">STB 07 - STB 08</t>
  </si>
  <si>
    <t xml:space="preserve">STB 08 - STB 09</t>
  </si>
  <si>
    <t xml:space="preserve">STB 09 - STB 10</t>
  </si>
  <si>
    <t xml:space="preserve">74+709</t>
  </si>
  <si>
    <t xml:space="preserve">STB 10 - STB 11</t>
  </si>
  <si>
    <t xml:space="preserve">81+895</t>
  </si>
  <si>
    <t xml:space="preserve">STB 11 - STB 12</t>
  </si>
  <si>
    <t xml:space="preserve">54+945</t>
  </si>
  <si>
    <t xml:space="preserve">79+255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</si>
</sst>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-* #,##0.00_-;\-* #,##0.00_-;_-* \-??_-;_-@_-"/>
    <numFmt numFmtId="166" formatCode="0"/>
    <numFmt numFmtId="167" formatCode="0%"/>
    <numFmt numFmtId="168" formatCode="0.0%"/>
    <numFmt numFmtId="169" formatCode="#,##0"/>
    <numFmt numFmtId="170" formatCode="m/d/yyyy"/>
    <numFmt numFmtId="171" formatCode="000\+000"/>
    <numFmt numFmtId="172" formatCode="@"/>
  </numFmts>
  <fonts count="13">
    <font>
      <sz val="11"/>
      <color theme="1"/>
      <name val="Calibri"/>
      <family val="2"/>
      <charset val="1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 Tur"/>
      <family val="0"/>
      <charset val="162"/>
    </font>
    <font>
      <sz val="11"/>
      <color rgb="FF000000"/>
      <name val="Calibri"/>
      <family val="2"/>
      <charset val="162"/>
    </font>
    <font>
      <sz val="11"/>
      <color theme="1"/>
      <name val="Calibri"/>
      <family val="2"/>
      <charset val="162"/>
    </font>
    <font>
      <b val="true"/>
      <sz val="10"/>
      <name val="Arial"/>
      <family val="2"/>
      <charset val="162"/>
    </font>
    <font>
      <sz val="8"/>
      <color theme="1"/>
      <name val="Calibri"/>
      <family val="2"/>
      <charset val="1"/>
    </font>
    <font>
      <b val="true"/>
      <sz val="9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sz val="8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rgb="FFFFFFFF"/>
      </patternFill>
    </fill>
    <fill>
      <patternFill patternType="solid">
        <fgColor theme="1"/>
        <bgColor rgb="FF003300"/>
      </patternFill>
    </fill>
    <fill>
      <patternFill patternType="solid">
        <fgColor theme="0"/>
        <bgColor rgb="FFE7E6E6"/>
      </patternFill>
    </fill>
    <fill>
      <patternFill patternType="solid">
        <fgColor rgb="FFFF0000"/>
        <bgColor rgb="FF99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>
        <color theme="1"/>
      </left>
      <right/>
      <top style="thin">
        <color theme="1"/>
      </top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9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1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1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1" fillId="4" borderId="1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11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1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8" fillId="4" borderId="1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1" fillId="4" borderId="1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1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4" borderId="1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4" borderId="1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1" fillId="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4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4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5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 2 2" xfId="22"/>
    <cellStyle name="Normal 2 3" xfId="23"/>
    <cellStyle name="Normal 2 4" xfId="24"/>
    <cellStyle name="Normal 3" xfId="25"/>
    <cellStyle name="Normal 5" xfId="26"/>
    <cellStyle name="Virgül 2" xfId="27"/>
  </cellStyles>
  <dxfs count="9">
    <dxf>
      <fill>
        <patternFill patternType="solid">
          <fgColor rgb="FFE7E6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b val="1"/>
        <i val="0"/>
        <color rgb="FFFFFFFF"/>
      </font>
      <fill>
        <patternFill>
          <bgColor rgb="FFFF0000"/>
        </patternFill>
      </fill>
    </dxf>
    <dxf>
      <font>
        <b val="1"/>
        <i val="0"/>
      </font>
      <fill>
        <patternFill>
          <bgColor rgb="FF92D050"/>
        </patternFill>
      </fill>
    </dxf>
    <dxf>
      <font>
        <b val="1"/>
        <i val="0"/>
        <color rgb="FFFFFFFF"/>
      </font>
      <fill>
        <patternFill>
          <bgColor rgb="FFFF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ont>
        <b val="1"/>
        <i val="0"/>
      </font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<Relationship Id="rId11" Type="http://schemas.openxmlformats.org/officeDocument/2006/relationships/connections" Target="connections.xml"/><Relationship Id="rId12" Type="http://schemas.openxmlformats.org/officeDocument/2006/relationships/customXml" Target="../customXml/item1.xml"/>
</Relationships>
</file>

<file path=xl/tables/table1.xml><?xml version="1.0" encoding="utf-8"?>
<table xmlns="http://schemas.openxmlformats.org/spreadsheetml/2006/main" id="1" name="makaralar" displayName="makaralar" ref="A1:E108" headerRowCount="1" totalsRowCount="0" totalsRowShown="0">
  <autoFilter ref="A1:E108"/>
  <tableColumns count="5">
    <tableColumn id="1" name="KABLO CİNSİ"/>
    <tableColumn id="2" name="CORE"/>
    <tableColumn id="3" name="MAKARA NO"/>
    <tableColumn id="4" name="UZUNLUK (mt)"/>
    <tableColumn id="5" name="KALAN (mt)"/>
  </tableColumns>
</table>
</file>

<file path=xl/tables/table2.xml><?xml version="1.0" encoding="utf-8"?>
<table xmlns="http://schemas.openxmlformats.org/spreadsheetml/2006/main" id="2" name="serim" displayName="serim" ref="A1:U111" headerRowCount="1" totalsRowCount="0" totalsRowShown="0">
  <autoFilter ref="A1:U111">
    <filterColumn colId="5">
      <filters>
        <filter val="24 F/O"/>
        <filter val="24 F/O (H)"/>
      </filters>
    </filterColumn>
    <filterColumn colId="14">
      <filters>
        <filter val="2"/>
      </filters>
    </filterColumn>
  </autoFilter>
  <tableColumns count="21">
    <tableColumn id="1" name="Tarih"/>
    <tableColumn id="2" name="Bina"/>
    <tableColumn id="3" name="Kablo Etiketi"/>
    <tableColumn id="4" name="Nereden"/>
    <tableColumn id="5" name="Nereye"/>
    <tableColumn id="6" name="Kablo Tipi"/>
    <tableColumn id="7" name="Makara Numarası"/>
    <tableColumn id="8" name="Makara Uzunluğu"/>
    <tableColumn id="9" name="Makara Başlangıç"/>
    <tableColumn id="10" name="Makara Bitiş"/>
    <tableColumn id="11" name="Başlangıç Elemanı"/>
    <tableColumn id="12" name="Başlangıç Km"/>
    <tableColumn id="13" name="Bitiş Elemanı"/>
    <tableColumn id="14" name="Bitiş Km"/>
    <tableColumn id="15" name="Hat 1 / Hat 2"/>
    <tableColumn id="16" name="Ek Km"/>
    <tableColumn id="17" name="Makara Kalan Uzunluk"/>
    <tableColumn id="18" name="Serim(m)"/>
    <tableColumn id="19" name="Metraj Hatası"/>
    <tableColumn id="20" name="Core Hatası"/>
    <tableColumn id="21" name="Kılıf Hatası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22" activeCellId="0" sqref="C22"/>
    </sheetView>
  </sheetViews>
  <sheetFormatPr defaultColWidth="8.88671875" defaultRowHeight="14.2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8.44"/>
    <col collapsed="false" customWidth="true" hidden="false" outlineLevel="0" max="3" min="3" style="1" width="19.56"/>
    <col collapsed="false" customWidth="true" hidden="false" outlineLevel="0" max="4" min="4" style="1" width="19.21"/>
    <col collapsed="false" customWidth="true" hidden="false" outlineLevel="0" max="5" min="5" style="1" width="18.88"/>
    <col collapsed="false" customWidth="true" hidden="false" outlineLevel="0" max="6" min="6" style="1" width="16.89"/>
    <col collapsed="false" customWidth="true" hidden="false" outlineLevel="0" max="7" min="7" style="1" width="27.76"/>
    <col collapsed="false" customWidth="true" hidden="false" outlineLevel="0" max="8" min="8" style="1" width="20.11"/>
    <col collapsed="false" customWidth="true" hidden="false" outlineLevel="0" max="9" min="9" style="1" width="27.11"/>
    <col collapsed="false" customWidth="true" hidden="false" outlineLevel="0" max="11" min="10" style="1" width="14"/>
    <col collapsed="false" customWidth="false" hidden="false" outlineLevel="0" max="16384" min="12" style="1" width="8.8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4.25" hidden="false" customHeight="false" outlineLevel="0" collapsed="false">
      <c r="A2" s="3" t="s">
        <v>9</v>
      </c>
      <c r="B2" s="4" t="n">
        <v>70000</v>
      </c>
      <c r="C2" s="4" t="n">
        <f aca="false">SUMIFS(makaralar[UZUNLUK (mt)],
           makaralar[CORE], 288,
           makaralar[KABLO CİNSİ], "A-DQ")</f>
        <v>48618</v>
      </c>
      <c r="D2" s="4" t="n">
        <f aca="false">B2-C2</f>
        <v>21382</v>
      </c>
      <c r="E2" s="4" t="n">
        <f aca="false">SUMIF(serim[Kablo Tipi],"288 F/O (H)",serim[Serim(m)])</f>
        <v>23863</v>
      </c>
      <c r="F2" s="5" t="n">
        <f aca="false">C2-E2</f>
        <v>24755</v>
      </c>
      <c r="G2" s="6" t="n">
        <f aca="false">C2/B2</f>
        <v>0.694542857142857</v>
      </c>
      <c r="H2" s="6" t="n">
        <f aca="false">E2/C2</f>
        <v>0.490826442881237</v>
      </c>
      <c r="I2" s="6" t="n">
        <f aca="false">E2/B2</f>
        <v>0.3409</v>
      </c>
    </row>
    <row r="3" customFormat="false" ht="14.25" hidden="false" customHeight="false" outlineLevel="0" collapsed="false">
      <c r="A3" s="3" t="s">
        <v>10</v>
      </c>
      <c r="B3" s="4" t="n">
        <v>145000</v>
      </c>
      <c r="C3" s="4" t="n">
        <f aca="false">SUMIFS(makaralar[UZUNLUK (mt)],
           makaralar[CORE], 288,
           makaralar[KABLO CİNSİ], "A-DF")</f>
        <v>92890</v>
      </c>
      <c r="D3" s="4" t="n">
        <f aca="false">B3-C3</f>
        <v>52110</v>
      </c>
      <c r="E3" s="4" t="n">
        <f aca="false">SUMIF(serim[Kablo Tipi],"288 F/O",serim[[#Headers],[Serim(m)]])</f>
        <v>33162</v>
      </c>
      <c r="F3" s="5" t="n">
        <f aca="false">C3-E3</f>
        <v>59728</v>
      </c>
      <c r="G3" s="6" t="n">
        <f aca="false">C3/B3</f>
        <v>0.640620689655172</v>
      </c>
      <c r="H3" s="6" t="n">
        <f aca="false">E3/C3</f>
        <v>0.357002906663796</v>
      </c>
      <c r="I3" s="6" t="n">
        <f aca="false">E3/B3</f>
        <v>0.228703448275862</v>
      </c>
    </row>
    <row r="4" customFormat="false" ht="14.25" hidden="false" customHeight="false" outlineLevel="0" collapsed="false">
      <c r="A4" s="3" t="s">
        <v>11</v>
      </c>
      <c r="B4" s="4" t="n">
        <v>70000</v>
      </c>
      <c r="C4" s="4" t="n">
        <f aca="false">SUMIFS(makaralar[UZUNLUK (mt)],
           makaralar[CORE], 24,
           makaralar[KABLO CİNSİ], "A-DQ")</f>
        <v>53067</v>
      </c>
      <c r="D4" s="4" t="n">
        <f aca="false">B4-C4</f>
        <v>16933</v>
      </c>
      <c r="E4" s="4" t="n">
        <f aca="false">SUMIF(serim[Kablo Tipi],"24 F/O (H)",serim[Serim(m)])</f>
        <v>26855</v>
      </c>
      <c r="F4" s="5" t="n">
        <f aca="false">C4-E4</f>
        <v>26212</v>
      </c>
      <c r="G4" s="6" t="n">
        <f aca="false">C4/B4</f>
        <v>0.7581</v>
      </c>
      <c r="H4" s="6" t="n">
        <f aca="false">E4/C4</f>
        <v>0.506058379030283</v>
      </c>
      <c r="I4" s="6" t="n">
        <f aca="false">E4/B4</f>
        <v>0.383642857142857</v>
      </c>
    </row>
    <row r="5" customFormat="false" ht="14.25" hidden="false" customHeight="false" outlineLevel="0" collapsed="false">
      <c r="A5" s="3" t="s">
        <v>12</v>
      </c>
      <c r="B5" s="4" t="n">
        <v>145000</v>
      </c>
      <c r="C5" s="4" t="n">
        <f aca="false">SUMIFS(makaralar[UZUNLUK (mt)],
           makaralar[CORE], 24,
           makaralar[KABLO CİNSİ], "A-DF")</f>
        <v>97828</v>
      </c>
      <c r="D5" s="4" t="n">
        <f aca="false">B5-C5</f>
        <v>47172</v>
      </c>
      <c r="E5" s="4" t="n">
        <f aca="false">SUMIF(serim[Kablo Tipi],"24 F/O",serim[Serim(m)])</f>
        <v>42701</v>
      </c>
      <c r="F5" s="5" t="n">
        <f aca="false">C5-E5</f>
        <v>55127</v>
      </c>
      <c r="G5" s="6" t="n">
        <f aca="false">C5/B5</f>
        <v>0.674675862068966</v>
      </c>
      <c r="H5" s="6" t="n">
        <f aca="false">E5/C5</f>
        <v>0.436490575295416</v>
      </c>
      <c r="I5" s="6" t="n">
        <f aca="false">E5/B5</f>
        <v>0.294489655172414</v>
      </c>
    </row>
    <row r="7" customFormat="false" ht="14.25" hidden="false" customHeight="false" outlineLevel="0" collapsed="false">
      <c r="A7" s="2" t="s">
        <v>13</v>
      </c>
    </row>
    <row r="8" customFormat="false" ht="14.25" hidden="false" customHeight="false" outlineLevel="0" collapsed="false">
      <c r="A8" s="7" t="n">
        <f aca="false">SUM(E2:E5)/SUM(B2:B5)</f>
        <v>0.294374418604651</v>
      </c>
    </row>
  </sheetData>
  <printOptions headings="false" gridLines="false" gridLinesSet="true" horizontalCentered="false" verticalCentered="false"/>
  <pageMargins left="0.7" right="0.7" top="0.75" bottom="0.75" header="0.3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&amp;L&amp;"Aptos,Regular"&amp;10&amp;Kff0000 Çok Gizli (Top Secret)&amp;1#_x005F_x000D_</oddHeader>
    <oddFooter>&amp;L_x005F_x000D_&amp;1#&amp;"Aptos,Regular"&amp;10&amp;Kff0000 Çok Gizli (Top Secret)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8"/>
  <sheetViews>
    <sheetView showFormulas="false" showGridLines="true" showRowColHeaders="true" showZeros="true" rightToLeft="false" tabSelected="false" showOutlineSymbols="true" defaultGridColor="true" view="normal" topLeftCell="A29" colorId="64" zoomScale="110" zoomScaleNormal="110" zoomScalePageLayoutView="100" workbookViewId="0">
      <selection pane="topLeft" activeCell="C47" activeCellId="0" sqref="C47"/>
    </sheetView>
  </sheetViews>
  <sheetFormatPr defaultColWidth="8.88671875" defaultRowHeight="14.25" customHeight="true" zeroHeight="false" outlineLevelRow="0" outlineLevelCol="0"/>
  <cols>
    <col collapsed="false" customWidth="true" hidden="false" outlineLevel="0" max="1" min="1" style="1" width="17.22"/>
    <col collapsed="false" customWidth="true" hidden="false" outlineLevel="0" max="2" min="2" style="1" width="10.78"/>
    <col collapsed="false" customWidth="true" hidden="false" outlineLevel="0" max="3" min="3" style="1" width="17.67"/>
    <col collapsed="false" customWidth="true" hidden="false" outlineLevel="0" max="4" min="4" style="1" width="18.44"/>
    <col collapsed="false" customWidth="true" hidden="false" outlineLevel="0" max="5" min="5" style="1" width="15.78"/>
    <col collapsed="false" customWidth="true" hidden="false" outlineLevel="0" max="6" min="6" style="1" width="9.56"/>
    <col collapsed="false" customWidth="true" hidden="false" outlineLevel="0" max="7" min="7" style="1" width="22.76"/>
    <col collapsed="false" customWidth="false" hidden="false" outlineLevel="0" max="16384" min="8" style="1" width="8.88"/>
  </cols>
  <sheetData>
    <row r="1" customFormat="false" ht="14.25" hidden="false" customHeight="false" outlineLevel="0" collapsed="false">
      <c r="A1" s="8" t="s">
        <v>14</v>
      </c>
      <c r="B1" s="8" t="s">
        <v>15</v>
      </c>
      <c r="C1" s="8" t="s">
        <v>16</v>
      </c>
      <c r="D1" s="8" t="s">
        <v>17</v>
      </c>
      <c r="E1" s="8" t="s">
        <v>18</v>
      </c>
    </row>
    <row r="2" customFormat="false" ht="14.25" hidden="false" customHeight="false" outlineLevel="0" collapsed="false">
      <c r="A2" s="1" t="s">
        <v>19</v>
      </c>
      <c r="B2" s="1" t="n">
        <v>24</v>
      </c>
      <c r="C2" s="1" t="s">
        <v>20</v>
      </c>
      <c r="D2" s="9" t="n">
        <v>4055</v>
      </c>
      <c r="E2" s="9" t="n">
        <f aca="false">makaralar[[#This Row],[UZUNLUK (mt)]]-SUMIF(serim[Makara Numarası],makaralar[[#This Row],[MAKARA NO]],serim[Serim(m)])</f>
        <v>0</v>
      </c>
    </row>
    <row r="3" customFormat="false" ht="14.25" hidden="false" customHeight="false" outlineLevel="0" collapsed="false">
      <c r="A3" s="1" t="s">
        <v>19</v>
      </c>
      <c r="B3" s="1" t="n">
        <v>24</v>
      </c>
      <c r="C3" s="1" t="s">
        <v>21</v>
      </c>
      <c r="D3" s="9" t="n">
        <v>4102</v>
      </c>
      <c r="E3" s="9" t="n">
        <f aca="false">makaralar[[#This Row],[UZUNLUK (mt)]]-SUMIF(serim[Makara Numarası],makaralar[[#This Row],[MAKARA NO]],serim[Serim(m)])</f>
        <v>0</v>
      </c>
    </row>
    <row r="4" customFormat="false" ht="14.25" hidden="false" customHeight="false" outlineLevel="0" collapsed="false">
      <c r="A4" s="1" t="s">
        <v>19</v>
      </c>
      <c r="B4" s="1" t="n">
        <v>24</v>
      </c>
      <c r="C4" s="1" t="s">
        <v>22</v>
      </c>
      <c r="D4" s="9" t="n">
        <v>4052</v>
      </c>
      <c r="E4" s="9" t="n">
        <f aca="false">makaralar[[#This Row],[UZUNLUK (mt)]]-SUMIF(serim[Makara Numarası],makaralar[[#This Row],[MAKARA NO]],serim[Serim(m)])</f>
        <v>0</v>
      </c>
    </row>
    <row r="5" customFormat="false" ht="14.25" hidden="false" customHeight="false" outlineLevel="0" collapsed="false">
      <c r="A5" s="1" t="s">
        <v>23</v>
      </c>
      <c r="B5" s="1" t="n">
        <v>24</v>
      </c>
      <c r="C5" s="1" t="s">
        <v>24</v>
      </c>
      <c r="D5" s="9" t="n">
        <v>4093</v>
      </c>
      <c r="E5" s="9" t="n">
        <f aca="false">makaralar[[#This Row],[UZUNLUK (mt)]]-SUMIF(serim[Makara Numarası],makaralar[[#This Row],[MAKARA NO]],serim[Serim(m)])</f>
        <v>4093</v>
      </c>
    </row>
    <row r="6" customFormat="false" ht="14.25" hidden="false" customHeight="false" outlineLevel="0" collapsed="false">
      <c r="A6" s="1" t="s">
        <v>23</v>
      </c>
      <c r="B6" s="1" t="n">
        <v>24</v>
      </c>
      <c r="C6" s="1" t="s">
        <v>25</v>
      </c>
      <c r="D6" s="9" t="n">
        <v>4073</v>
      </c>
      <c r="E6" s="9" t="n">
        <f aca="false">makaralar[[#This Row],[UZUNLUK (mt)]]-SUMIF(serim[Makara Numarası],makaralar[[#This Row],[MAKARA NO]],serim[Serim(m)])</f>
        <v>0</v>
      </c>
    </row>
    <row r="7" customFormat="false" ht="14.25" hidden="false" customHeight="false" outlineLevel="0" collapsed="false">
      <c r="A7" s="1" t="s">
        <v>23</v>
      </c>
      <c r="B7" s="1" t="n">
        <v>24</v>
      </c>
      <c r="C7" s="1" t="s">
        <v>26</v>
      </c>
      <c r="D7" s="9" t="n">
        <v>4048</v>
      </c>
      <c r="E7" s="9" t="n">
        <f aca="false">makaralar[[#This Row],[UZUNLUK (mt)]]-SUMIF(serim[Makara Numarası],makaralar[[#This Row],[MAKARA NO]],serim[Serim(m)])</f>
        <v>4048</v>
      </c>
    </row>
    <row r="8" customFormat="false" ht="14.25" hidden="false" customHeight="false" outlineLevel="0" collapsed="false">
      <c r="A8" s="1" t="s">
        <v>23</v>
      </c>
      <c r="B8" s="1" t="n">
        <v>24</v>
      </c>
      <c r="C8" s="1" t="s">
        <v>27</v>
      </c>
      <c r="D8" s="9" t="n">
        <v>4089</v>
      </c>
      <c r="E8" s="9" t="n">
        <f aca="false">makaralar[[#This Row],[UZUNLUK (mt)]]-SUMIF(serim[Makara Numarası],makaralar[[#This Row],[MAKARA NO]],serim[Serim(m)])</f>
        <v>0</v>
      </c>
    </row>
    <row r="9" customFormat="false" ht="14.25" hidden="false" customHeight="false" outlineLevel="0" collapsed="false">
      <c r="A9" s="1" t="s">
        <v>23</v>
      </c>
      <c r="B9" s="1" t="n">
        <v>24</v>
      </c>
      <c r="C9" s="1" t="s">
        <v>28</v>
      </c>
      <c r="D9" s="9" t="n">
        <v>4080</v>
      </c>
      <c r="E9" s="9" t="n">
        <f aca="false">makaralar[[#This Row],[UZUNLUK (mt)]]-SUMIF(serim[Makara Numarası],makaralar[[#This Row],[MAKARA NO]],serim[Serim(m)])</f>
        <v>0</v>
      </c>
    </row>
    <row r="10" customFormat="false" ht="14.25" hidden="false" customHeight="false" outlineLevel="0" collapsed="false">
      <c r="A10" s="1" t="s">
        <v>23</v>
      </c>
      <c r="B10" s="1" t="n">
        <v>24</v>
      </c>
      <c r="C10" s="1" t="s">
        <v>29</v>
      </c>
      <c r="D10" s="9" t="n">
        <v>4048</v>
      </c>
      <c r="E10" s="9" t="n">
        <f aca="false">makaralar[[#This Row],[UZUNLUK (mt)]]-SUMIF(serim[Makara Numarası],makaralar[[#This Row],[MAKARA NO]],serim[Serim(m)])</f>
        <v>1</v>
      </c>
    </row>
    <row r="11" customFormat="false" ht="14.25" hidden="false" customHeight="false" outlineLevel="0" collapsed="false">
      <c r="A11" s="1" t="s">
        <v>23</v>
      </c>
      <c r="B11" s="1" t="n">
        <v>24</v>
      </c>
      <c r="C11" s="1" t="s">
        <v>30</v>
      </c>
      <c r="D11" s="9" t="n">
        <v>4096</v>
      </c>
      <c r="E11" s="9" t="n">
        <f aca="false">makaralar[[#This Row],[UZUNLUK (mt)]]-SUMIF(serim[Makara Numarası],makaralar[[#This Row],[MAKARA NO]],serim[Serim(m)])</f>
        <v>4096</v>
      </c>
    </row>
    <row r="12" customFormat="false" ht="14.25" hidden="false" customHeight="false" outlineLevel="0" collapsed="false">
      <c r="A12" s="1" t="s">
        <v>23</v>
      </c>
      <c r="B12" s="1" t="n">
        <v>24</v>
      </c>
      <c r="C12" s="1" t="s">
        <v>31</v>
      </c>
      <c r="D12" s="9" t="n">
        <v>4115</v>
      </c>
      <c r="E12" s="9" t="n">
        <f aca="false">makaralar[[#This Row],[UZUNLUK (mt)]]-SUMIF(serim[Makara Numarası],makaralar[[#This Row],[MAKARA NO]],serim[Serim(m)])</f>
        <v>110</v>
      </c>
    </row>
    <row r="13" customFormat="false" ht="14.25" hidden="false" customHeight="false" outlineLevel="0" collapsed="false">
      <c r="A13" s="1" t="s">
        <v>23</v>
      </c>
      <c r="B13" s="1" t="n">
        <v>288</v>
      </c>
      <c r="C13" s="1" t="s">
        <v>32</v>
      </c>
      <c r="D13" s="9" t="n">
        <v>2019</v>
      </c>
      <c r="E13" s="9" t="n">
        <f aca="false">makaralar[[#This Row],[UZUNLUK (mt)]]-SUMIF(serim[Makara Numarası],makaralar[[#This Row],[MAKARA NO]],serim[Serim(m)])</f>
        <v>0</v>
      </c>
    </row>
    <row r="14" customFormat="false" ht="14.25" hidden="false" customHeight="false" outlineLevel="0" collapsed="false">
      <c r="A14" s="1" t="s">
        <v>23</v>
      </c>
      <c r="B14" s="1" t="n">
        <v>288</v>
      </c>
      <c r="C14" s="1" t="s">
        <v>33</v>
      </c>
      <c r="D14" s="9" t="n">
        <v>2018</v>
      </c>
      <c r="E14" s="9" t="n">
        <f aca="false">makaralar[[#This Row],[UZUNLUK (mt)]]-SUMIF(serim[Makara Numarası],makaralar[[#This Row],[MAKARA NO]],serim[Serim(m)])</f>
        <v>2018</v>
      </c>
    </row>
    <row r="15" customFormat="false" ht="14.25" hidden="false" customHeight="false" outlineLevel="0" collapsed="false">
      <c r="A15" s="1" t="s">
        <v>23</v>
      </c>
      <c r="B15" s="1" t="n">
        <v>288</v>
      </c>
      <c r="C15" s="1" t="s">
        <v>34</v>
      </c>
      <c r="D15" s="9" t="n">
        <v>2024</v>
      </c>
      <c r="E15" s="9" t="n">
        <f aca="false">makaralar[[#This Row],[UZUNLUK (mt)]]-SUMIF(serim[Makara Numarası],makaralar[[#This Row],[MAKARA NO]],serim[Serim(m)])</f>
        <v>0</v>
      </c>
    </row>
    <row r="16" customFormat="false" ht="14.25" hidden="false" customHeight="false" outlineLevel="0" collapsed="false">
      <c r="A16" s="1" t="s">
        <v>23</v>
      </c>
      <c r="B16" s="1" t="n">
        <v>288</v>
      </c>
      <c r="C16" s="1" t="s">
        <v>35</v>
      </c>
      <c r="D16" s="9" t="n">
        <v>2045</v>
      </c>
      <c r="E16" s="9" t="n">
        <f aca="false">makaralar[[#This Row],[UZUNLUK (mt)]]-SUMIF(serim[Makara Numarası],makaralar[[#This Row],[MAKARA NO]],serim[Serim(m)])</f>
        <v>1000</v>
      </c>
    </row>
    <row r="17" customFormat="false" ht="14.25" hidden="false" customHeight="false" outlineLevel="0" collapsed="false">
      <c r="A17" s="1" t="s">
        <v>23</v>
      </c>
      <c r="B17" s="1" t="n">
        <v>288</v>
      </c>
      <c r="C17" s="1" t="s">
        <v>36</v>
      </c>
      <c r="D17" s="9" t="n">
        <v>2019</v>
      </c>
      <c r="E17" s="9" t="n">
        <f aca="false">makaralar[[#This Row],[UZUNLUK (mt)]]-SUMIF(serim[Makara Numarası],makaralar[[#This Row],[MAKARA NO]],serim[Serim(m)])</f>
        <v>0</v>
      </c>
    </row>
    <row r="18" customFormat="false" ht="14.25" hidden="false" customHeight="false" outlineLevel="0" collapsed="false">
      <c r="A18" s="1" t="s">
        <v>23</v>
      </c>
      <c r="B18" s="1" t="n">
        <v>288</v>
      </c>
      <c r="C18" s="1" t="s">
        <v>37</v>
      </c>
      <c r="D18" s="9" t="n">
        <v>2021</v>
      </c>
      <c r="E18" s="9" t="n">
        <f aca="false">makaralar[[#This Row],[UZUNLUK (mt)]]-SUMIF(serim[Makara Numarası],makaralar[[#This Row],[MAKARA NO]],serim[Serim(m)])</f>
        <v>2</v>
      </c>
    </row>
    <row r="19" customFormat="false" ht="14.25" hidden="false" customHeight="false" outlineLevel="0" collapsed="false">
      <c r="A19" s="1" t="s">
        <v>23</v>
      </c>
      <c r="B19" s="1" t="n">
        <v>288</v>
      </c>
      <c r="C19" s="1" t="s">
        <v>38</v>
      </c>
      <c r="D19" s="9" t="n">
        <v>2010</v>
      </c>
      <c r="E19" s="9" t="n">
        <f aca="false">makaralar[[#This Row],[UZUNLUK (mt)]]-SUMIF(serim[Makara Numarası],makaralar[[#This Row],[MAKARA NO]],serim[Serim(m)])</f>
        <v>0</v>
      </c>
    </row>
    <row r="20" customFormat="false" ht="14.25" hidden="false" customHeight="false" outlineLevel="0" collapsed="false">
      <c r="A20" s="1" t="s">
        <v>23</v>
      </c>
      <c r="B20" s="1" t="n">
        <v>288</v>
      </c>
      <c r="C20" s="1" t="s">
        <v>39</v>
      </c>
      <c r="D20" s="9" t="n">
        <v>1945</v>
      </c>
      <c r="E20" s="9" t="n">
        <f aca="false">makaralar[[#This Row],[UZUNLUK (mt)]]-SUMIF(serim[Makara Numarası],makaralar[[#This Row],[MAKARA NO]],serim[Serim(m)])</f>
        <v>0</v>
      </c>
    </row>
    <row r="21" customFormat="false" ht="14.25" hidden="false" customHeight="false" outlineLevel="0" collapsed="false">
      <c r="A21" s="1" t="s">
        <v>23</v>
      </c>
      <c r="B21" s="1" t="n">
        <v>288</v>
      </c>
      <c r="C21" s="1" t="s">
        <v>40</v>
      </c>
      <c r="D21" s="9" t="n">
        <v>2029</v>
      </c>
      <c r="E21" s="9" t="n">
        <f aca="false">makaralar[[#This Row],[UZUNLUK (mt)]]-SUMIF(serim[Makara Numarası],makaralar[[#This Row],[MAKARA NO]],serim[Serim(m)])</f>
        <v>0</v>
      </c>
    </row>
    <row r="22" customFormat="false" ht="14.25" hidden="false" customHeight="false" outlineLevel="0" collapsed="false">
      <c r="A22" s="1" t="s">
        <v>23</v>
      </c>
      <c r="B22" s="1" t="n">
        <v>288</v>
      </c>
      <c r="C22" s="1" t="s">
        <v>41</v>
      </c>
      <c r="D22" s="9" t="n">
        <v>2048</v>
      </c>
      <c r="E22" s="9" t="n">
        <f aca="false">makaralar[[#This Row],[UZUNLUK (mt)]]-SUMIF(serim[Makara Numarası],makaralar[[#This Row],[MAKARA NO]],serim[Serim(m)])</f>
        <v>0</v>
      </c>
    </row>
    <row r="23" customFormat="false" ht="14.25" hidden="false" customHeight="false" outlineLevel="0" collapsed="false">
      <c r="A23" s="1" t="s">
        <v>23</v>
      </c>
      <c r="B23" s="1" t="n">
        <v>288</v>
      </c>
      <c r="C23" s="1" t="s">
        <v>42</v>
      </c>
      <c r="D23" s="9" t="n">
        <v>2013</v>
      </c>
      <c r="E23" s="9" t="n">
        <f aca="false">makaralar[[#This Row],[UZUNLUK (mt)]]-SUMIF(serim[Makara Numarası],makaralar[[#This Row],[MAKARA NO]],serim[Serim(m)])</f>
        <v>2013</v>
      </c>
    </row>
    <row r="24" customFormat="false" ht="14.25" hidden="false" customHeight="false" outlineLevel="0" collapsed="false">
      <c r="A24" s="1" t="s">
        <v>23</v>
      </c>
      <c r="B24" s="1" t="n">
        <v>288</v>
      </c>
      <c r="C24" s="1" t="s">
        <v>43</v>
      </c>
      <c r="D24" s="9" t="n">
        <v>2013</v>
      </c>
      <c r="E24" s="9" t="n">
        <f aca="false">makaralar[[#This Row],[UZUNLUK (mt)]]-SUMIF(serim[Makara Numarası],makaralar[[#This Row],[MAKARA NO]],serim[Serim(m)])</f>
        <v>0</v>
      </c>
    </row>
    <row r="25" customFormat="false" ht="14.25" hidden="false" customHeight="false" outlineLevel="0" collapsed="false">
      <c r="A25" s="1" t="s">
        <v>23</v>
      </c>
      <c r="B25" s="1" t="n">
        <v>288</v>
      </c>
      <c r="C25" s="1" t="s">
        <v>44</v>
      </c>
      <c r="D25" s="9" t="n">
        <v>2013</v>
      </c>
      <c r="E25" s="9" t="n">
        <f aca="false">makaralar[[#This Row],[UZUNLUK (mt)]]-SUMIF(serim[Makara Numarası],makaralar[[#This Row],[MAKARA NO]],serim[Serim(m)])</f>
        <v>0</v>
      </c>
    </row>
    <row r="26" customFormat="false" ht="14.25" hidden="false" customHeight="false" outlineLevel="0" collapsed="false">
      <c r="A26" s="1" t="s">
        <v>23</v>
      </c>
      <c r="B26" s="1" t="n">
        <v>288</v>
      </c>
      <c r="C26" s="1" t="s">
        <v>45</v>
      </c>
      <c r="D26" s="9" t="n">
        <v>2035</v>
      </c>
      <c r="E26" s="9" t="n">
        <f aca="false">makaralar[[#This Row],[UZUNLUK (mt)]]-SUMIF(serim[Makara Numarası],makaralar[[#This Row],[MAKARA NO]],serim[Serim(m)])</f>
        <v>425</v>
      </c>
    </row>
    <row r="27" customFormat="false" ht="14.25" hidden="false" customHeight="false" outlineLevel="0" collapsed="false">
      <c r="A27" s="1" t="s">
        <v>23</v>
      </c>
      <c r="B27" s="1" t="n">
        <v>24</v>
      </c>
      <c r="C27" s="1" t="s">
        <v>46</v>
      </c>
      <c r="D27" s="9" t="n">
        <v>4075</v>
      </c>
      <c r="E27" s="9" t="n">
        <f aca="false">makaralar[[#This Row],[UZUNLUK (mt)]]-SUMIF(serim[Makara Numarası],makaralar[[#This Row],[MAKARA NO]],serim[Serim(m)])</f>
        <v>4075</v>
      </c>
    </row>
    <row r="28" customFormat="false" ht="14.25" hidden="false" customHeight="false" outlineLevel="0" collapsed="false">
      <c r="A28" s="1" t="s">
        <v>23</v>
      </c>
      <c r="B28" s="1" t="n">
        <v>24</v>
      </c>
      <c r="C28" s="1" t="s">
        <v>47</v>
      </c>
      <c r="D28" s="9" t="n">
        <v>4079</v>
      </c>
      <c r="E28" s="9" t="n">
        <f aca="false">makaralar[[#This Row],[UZUNLUK (mt)]]-SUMIF(serim[Makara Numarası],makaralar[[#This Row],[MAKARA NO]],serim[Serim(m)])</f>
        <v>0</v>
      </c>
    </row>
    <row r="29" customFormat="false" ht="14.25" hidden="false" customHeight="false" outlineLevel="0" collapsed="false">
      <c r="A29" s="1" t="s">
        <v>23</v>
      </c>
      <c r="B29" s="1" t="n">
        <v>24</v>
      </c>
      <c r="C29" s="1" t="s">
        <v>48</v>
      </c>
      <c r="D29" s="9" t="n">
        <v>4100</v>
      </c>
      <c r="E29" s="9" t="n">
        <f aca="false">makaralar[[#This Row],[UZUNLUK (mt)]]-SUMIF(serim[Makara Numarası],makaralar[[#This Row],[MAKARA NO]],serim[Serim(m)])</f>
        <v>0</v>
      </c>
    </row>
    <row r="30" customFormat="false" ht="14.25" hidden="false" customHeight="false" outlineLevel="0" collapsed="false">
      <c r="A30" s="1" t="s">
        <v>23</v>
      </c>
      <c r="B30" s="1" t="n">
        <v>24</v>
      </c>
      <c r="C30" s="1" t="s">
        <v>49</v>
      </c>
      <c r="D30" s="9" t="n">
        <v>4100</v>
      </c>
      <c r="E30" s="9" t="n">
        <f aca="false">makaralar[[#This Row],[UZUNLUK (mt)]]-SUMIF(serim[Makara Numarası],makaralar[[#This Row],[MAKARA NO]],serim[Serim(m)])</f>
        <v>0</v>
      </c>
    </row>
    <row r="31" customFormat="false" ht="14.25" hidden="false" customHeight="false" outlineLevel="0" collapsed="false">
      <c r="A31" s="1" t="s">
        <v>23</v>
      </c>
      <c r="B31" s="1" t="n">
        <v>24</v>
      </c>
      <c r="C31" s="1" t="s">
        <v>50</v>
      </c>
      <c r="D31" s="9" t="n">
        <v>4049</v>
      </c>
      <c r="E31" s="9" t="n">
        <f aca="false">makaralar[[#This Row],[UZUNLUK (mt)]]-SUMIF(serim[Makara Numarası],makaralar[[#This Row],[MAKARA NO]],serim[Serim(m)])</f>
        <v>40</v>
      </c>
    </row>
    <row r="32" customFormat="false" ht="14.25" hidden="false" customHeight="false" outlineLevel="0" collapsed="false">
      <c r="A32" s="1" t="s">
        <v>23</v>
      </c>
      <c r="B32" s="1" t="n">
        <v>24</v>
      </c>
      <c r="C32" s="1" t="s">
        <v>51</v>
      </c>
      <c r="D32" s="9" t="n">
        <v>4169</v>
      </c>
      <c r="E32" s="9" t="n">
        <f aca="false">makaralar[[#This Row],[UZUNLUK (mt)]]-SUMIF(serim[Makara Numarası],makaralar[[#This Row],[MAKARA NO]],serim[Serim(m)])</f>
        <v>60</v>
      </c>
    </row>
    <row r="33" customFormat="false" ht="14.25" hidden="false" customHeight="false" outlineLevel="0" collapsed="false">
      <c r="A33" s="1" t="s">
        <v>19</v>
      </c>
      <c r="B33" s="1" t="n">
        <v>288</v>
      </c>
      <c r="C33" s="1" t="s">
        <v>52</v>
      </c>
      <c r="D33" s="9" t="n">
        <v>2015</v>
      </c>
      <c r="E33" s="9" t="n">
        <f aca="false">makaralar[[#This Row],[UZUNLUK (mt)]]-SUMIF(serim[Makara Numarası],makaralar[[#This Row],[MAKARA NO]],serim[Serim(m)])</f>
        <v>0</v>
      </c>
    </row>
    <row r="34" customFormat="false" ht="14.25" hidden="false" customHeight="false" outlineLevel="0" collapsed="false">
      <c r="A34" s="1" t="s">
        <v>19</v>
      </c>
      <c r="B34" s="1" t="n">
        <v>288</v>
      </c>
      <c r="C34" s="1" t="s">
        <v>53</v>
      </c>
      <c r="D34" s="9" t="n">
        <v>2015</v>
      </c>
      <c r="E34" s="9" t="n">
        <f aca="false">makaralar[[#This Row],[UZUNLUK (mt)]]-SUMIF(serim[Makara Numarası],makaralar[[#This Row],[MAKARA NO]],serim[Serim(m)])</f>
        <v>0</v>
      </c>
    </row>
    <row r="35" customFormat="false" ht="14.25" hidden="false" customHeight="false" outlineLevel="0" collapsed="false">
      <c r="A35" s="1" t="s">
        <v>19</v>
      </c>
      <c r="B35" s="1" t="n">
        <v>288</v>
      </c>
      <c r="C35" s="1" t="s">
        <v>54</v>
      </c>
      <c r="D35" s="9" t="n">
        <v>2009</v>
      </c>
      <c r="E35" s="9" t="n">
        <f aca="false">makaralar[[#This Row],[UZUNLUK (mt)]]-SUMIF(serim[Makara Numarası],makaralar[[#This Row],[MAKARA NO]],serim[Serim(m)])</f>
        <v>0</v>
      </c>
    </row>
    <row r="36" customFormat="false" ht="14.25" hidden="false" customHeight="false" outlineLevel="0" collapsed="false">
      <c r="A36" s="1" t="s">
        <v>19</v>
      </c>
      <c r="B36" s="1" t="n">
        <v>288</v>
      </c>
      <c r="C36" s="1" t="s">
        <v>55</v>
      </c>
      <c r="D36" s="9" t="n">
        <v>2049</v>
      </c>
      <c r="E36" s="9" t="n">
        <f aca="false">makaralar[[#This Row],[UZUNLUK (mt)]]-SUMIF(serim[Makara Numarası],makaralar[[#This Row],[MAKARA NO]],serim[Serim(m)])</f>
        <v>0</v>
      </c>
    </row>
    <row r="37" customFormat="false" ht="14.25" hidden="false" customHeight="false" outlineLevel="0" collapsed="false">
      <c r="A37" s="1" t="s">
        <v>19</v>
      </c>
      <c r="B37" s="1" t="n">
        <v>288</v>
      </c>
      <c r="C37" s="1" t="s">
        <v>56</v>
      </c>
      <c r="D37" s="9" t="n">
        <v>2023</v>
      </c>
      <c r="E37" s="9" t="n">
        <f aca="false">makaralar[[#This Row],[UZUNLUK (mt)]]-SUMIF(serim[Makara Numarası],makaralar[[#This Row],[MAKARA NO]],serim[Serim(m)])</f>
        <v>0</v>
      </c>
    </row>
    <row r="38" customFormat="false" ht="14.25" hidden="false" customHeight="false" outlineLevel="0" collapsed="false">
      <c r="A38" s="1" t="s">
        <v>19</v>
      </c>
      <c r="B38" s="1" t="n">
        <v>288</v>
      </c>
      <c r="C38" s="1" t="s">
        <v>57</v>
      </c>
      <c r="D38" s="9" t="n">
        <v>2042</v>
      </c>
      <c r="E38" s="9" t="n">
        <f aca="false">makaralar[[#This Row],[UZUNLUK (mt)]]-SUMIF(serim[Makara Numarası],makaralar[[#This Row],[MAKARA NO]],serim[Serim(m)])</f>
        <v>0</v>
      </c>
    </row>
    <row r="39" customFormat="false" ht="14.25" hidden="false" customHeight="false" outlineLevel="0" collapsed="false">
      <c r="A39" s="1" t="s">
        <v>19</v>
      </c>
      <c r="B39" s="1" t="n">
        <v>288</v>
      </c>
      <c r="C39" s="1" t="s">
        <v>58</v>
      </c>
      <c r="D39" s="9" t="n">
        <v>2014</v>
      </c>
      <c r="E39" s="9" t="n">
        <f aca="false">makaralar[[#This Row],[UZUNLUK (mt)]]-SUMIF(serim[Makara Numarası],makaralar[[#This Row],[MAKARA NO]],serim[Serim(m)])</f>
        <v>0</v>
      </c>
    </row>
    <row r="40" customFormat="false" ht="14.25" hidden="false" customHeight="false" outlineLevel="0" collapsed="false">
      <c r="A40" s="1" t="s">
        <v>19</v>
      </c>
      <c r="B40" s="1" t="n">
        <v>288</v>
      </c>
      <c r="C40" s="1" t="s">
        <v>59</v>
      </c>
      <c r="D40" s="9" t="n">
        <v>2063</v>
      </c>
      <c r="E40" s="9" t="n">
        <f aca="false">makaralar[[#This Row],[UZUNLUK (mt)]]-SUMIF(serim[Makara Numarası],makaralar[[#This Row],[MAKARA NO]],serim[Serim(m)])</f>
        <v>0</v>
      </c>
    </row>
    <row r="41" customFormat="false" ht="14.25" hidden="false" customHeight="false" outlineLevel="0" collapsed="false">
      <c r="A41" s="1" t="s">
        <v>23</v>
      </c>
      <c r="B41" s="1" t="n">
        <v>24</v>
      </c>
      <c r="C41" s="1" t="s">
        <v>60</v>
      </c>
      <c r="D41" s="9" t="n">
        <v>4084</v>
      </c>
      <c r="E41" s="9" t="n">
        <f aca="false">makaralar[[#This Row],[UZUNLUK (mt)]]-SUMIF(serim[Makara Numarası],makaralar[[#This Row],[MAKARA NO]],serim[Serim(m)])</f>
        <v>4084</v>
      </c>
    </row>
    <row r="42" customFormat="false" ht="14.25" hidden="false" customHeight="false" outlineLevel="0" collapsed="false">
      <c r="A42" s="1" t="s">
        <v>23</v>
      </c>
      <c r="B42" s="1" t="n">
        <v>24</v>
      </c>
      <c r="C42" s="1" t="s">
        <v>61</v>
      </c>
      <c r="D42" s="9" t="n">
        <v>4050</v>
      </c>
      <c r="E42" s="9" t="n">
        <f aca="false">makaralar[[#This Row],[UZUNLUK (mt)]]-SUMIF(serim[Makara Numarası],makaralar[[#This Row],[MAKARA NO]],serim[Serim(m)])</f>
        <v>4050</v>
      </c>
    </row>
    <row r="43" customFormat="false" ht="14.25" hidden="false" customHeight="false" outlineLevel="0" collapsed="false">
      <c r="A43" s="1" t="s">
        <v>19</v>
      </c>
      <c r="B43" s="1" t="n">
        <v>24</v>
      </c>
      <c r="C43" s="1" t="s">
        <v>62</v>
      </c>
      <c r="D43" s="9" t="n">
        <v>4032</v>
      </c>
      <c r="E43" s="9" t="n">
        <f aca="false">makaralar[[#This Row],[UZUNLUK (mt)]]-SUMIF(serim[Makara Numarası],makaralar[[#This Row],[MAKARA NO]],serim[Serim(m)])</f>
        <v>4032</v>
      </c>
    </row>
    <row r="44" customFormat="false" ht="14.25" hidden="false" customHeight="false" outlineLevel="0" collapsed="false">
      <c r="A44" s="1" t="s">
        <v>19</v>
      </c>
      <c r="B44" s="1" t="n">
        <v>24</v>
      </c>
      <c r="C44" s="1" t="s">
        <v>63</v>
      </c>
      <c r="D44" s="9" t="n">
        <v>4060</v>
      </c>
      <c r="E44" s="9" t="n">
        <f aca="false">makaralar[[#This Row],[UZUNLUK (mt)]]-SUMIF(serim[Makara Numarası],makaralar[[#This Row],[MAKARA NO]],serim[Serim(m)])</f>
        <v>630</v>
      </c>
    </row>
    <row r="45" customFormat="false" ht="14.25" hidden="false" customHeight="false" outlineLevel="0" collapsed="false">
      <c r="A45" s="1" t="s">
        <v>19</v>
      </c>
      <c r="B45" s="1" t="n">
        <v>24</v>
      </c>
      <c r="C45" s="1" t="s">
        <v>64</v>
      </c>
      <c r="D45" s="9" t="n">
        <v>4106</v>
      </c>
      <c r="E45" s="9" t="n">
        <f aca="false">makaralar[[#This Row],[UZUNLUK (mt)]]-SUMIF(serim[Makara Numarası],makaralar[[#This Row],[MAKARA NO]],serim[Serim(m)])</f>
        <v>51</v>
      </c>
    </row>
    <row r="46" customFormat="false" ht="14.25" hidden="false" customHeight="false" outlineLevel="0" collapsed="false">
      <c r="A46" s="1" t="s">
        <v>19</v>
      </c>
      <c r="B46" s="1" t="n">
        <v>24</v>
      </c>
      <c r="C46" s="1" t="s">
        <v>65</v>
      </c>
      <c r="D46" s="9" t="n">
        <v>4042</v>
      </c>
      <c r="E46" s="9" t="n">
        <f aca="false">makaralar[[#This Row],[UZUNLUK (mt)]]-SUMIF(serim[Makara Numarası],makaralar[[#This Row],[MAKARA NO]],serim[Serim(m)])</f>
        <v>0</v>
      </c>
    </row>
    <row r="47" customFormat="false" ht="14.25" hidden="false" customHeight="false" outlineLevel="0" collapsed="false">
      <c r="A47" s="1" t="s">
        <v>19</v>
      </c>
      <c r="B47" s="1" t="n">
        <v>24</v>
      </c>
      <c r="C47" s="1" t="s">
        <v>66</v>
      </c>
      <c r="D47" s="9" t="n">
        <v>4096</v>
      </c>
      <c r="E47" s="9" t="n">
        <f aca="false">makaralar[[#This Row],[UZUNLUK (mt)]]-SUMIF(serim[Makara Numarası],makaralar[[#This Row],[MAKARA NO]],serim[Serim(m)])</f>
        <v>85</v>
      </c>
    </row>
    <row r="48" customFormat="false" ht="14.25" hidden="false" customHeight="false" outlineLevel="0" collapsed="false">
      <c r="A48" s="1" t="s">
        <v>19</v>
      </c>
      <c r="B48" s="1" t="n">
        <v>288</v>
      </c>
      <c r="C48" s="1" t="s">
        <v>67</v>
      </c>
      <c r="D48" s="9" t="n">
        <v>2014</v>
      </c>
      <c r="E48" s="9" t="n">
        <f aca="false">makaralar[[#This Row],[UZUNLUK (mt)]]-SUMIF(serim[Makara Numarası],makaralar[[#This Row],[MAKARA NO]],serim[Serim(m)])</f>
        <v>0</v>
      </c>
    </row>
    <row r="49" customFormat="false" ht="14.25" hidden="false" customHeight="false" outlineLevel="0" collapsed="false">
      <c r="A49" s="1" t="s">
        <v>19</v>
      </c>
      <c r="B49" s="1" t="n">
        <v>288</v>
      </c>
      <c r="C49" s="1" t="s">
        <v>68</v>
      </c>
      <c r="D49" s="9" t="n">
        <v>2014</v>
      </c>
      <c r="E49" s="9" t="n">
        <f aca="false">makaralar[[#This Row],[UZUNLUK (mt)]]-SUMIF(serim[Makara Numarası],makaralar[[#This Row],[MAKARA NO]],serim[Serim(m)])</f>
        <v>0</v>
      </c>
    </row>
    <row r="50" customFormat="false" ht="14.25" hidden="false" customHeight="false" outlineLevel="0" collapsed="false">
      <c r="A50" s="1" t="s">
        <v>19</v>
      </c>
      <c r="B50" s="1" t="n">
        <v>288</v>
      </c>
      <c r="C50" s="1" t="s">
        <v>69</v>
      </c>
      <c r="D50" s="9" t="n">
        <v>2012</v>
      </c>
      <c r="E50" s="9" t="n">
        <f aca="false">makaralar[[#This Row],[UZUNLUK (mt)]]-SUMIF(serim[Makara Numarası],makaralar[[#This Row],[MAKARA NO]],serim[Serim(m)])</f>
        <v>2012</v>
      </c>
    </row>
    <row r="51" customFormat="false" ht="14.25" hidden="false" customHeight="false" outlineLevel="0" collapsed="false">
      <c r="A51" s="1" t="s">
        <v>19</v>
      </c>
      <c r="B51" s="1" t="n">
        <v>288</v>
      </c>
      <c r="C51" s="1" t="s">
        <v>70</v>
      </c>
      <c r="D51" s="9" t="n">
        <v>2050</v>
      </c>
      <c r="E51" s="9" t="n">
        <f aca="false">makaralar[[#This Row],[UZUNLUK (mt)]]-SUMIF(serim[Makara Numarası],makaralar[[#This Row],[MAKARA NO]],serim[Serim(m)])</f>
        <v>2050</v>
      </c>
    </row>
    <row r="52" customFormat="false" ht="14.25" hidden="false" customHeight="false" outlineLevel="0" collapsed="false">
      <c r="A52" s="1" t="s">
        <v>19</v>
      </c>
      <c r="B52" s="1" t="n">
        <v>288</v>
      </c>
      <c r="C52" s="1" t="s">
        <v>71</v>
      </c>
      <c r="D52" s="9" t="n">
        <v>2000</v>
      </c>
      <c r="E52" s="9" t="n">
        <f aca="false">makaralar[[#This Row],[UZUNLUK (mt)]]-SUMIF(serim[Makara Numarası],makaralar[[#This Row],[MAKARA NO]],serim[Serim(m)])</f>
        <v>2000</v>
      </c>
    </row>
    <row r="53" customFormat="false" ht="14.25" hidden="false" customHeight="false" outlineLevel="0" collapsed="false">
      <c r="A53" s="1" t="s">
        <v>19</v>
      </c>
      <c r="B53" s="1" t="n">
        <v>288</v>
      </c>
      <c r="C53" s="1" t="s">
        <v>72</v>
      </c>
      <c r="D53" s="9" t="n">
        <v>2000</v>
      </c>
      <c r="E53" s="9" t="n">
        <f aca="false">makaralar[[#This Row],[UZUNLUK (mt)]]-SUMIF(serim[Makara Numarası],makaralar[[#This Row],[MAKARA NO]],serim[Serim(m)])</f>
        <v>0</v>
      </c>
    </row>
    <row r="54" customFormat="false" ht="14.25" hidden="false" customHeight="false" outlineLevel="0" collapsed="false">
      <c r="A54" s="1" t="s">
        <v>19</v>
      </c>
      <c r="B54" s="1" t="n">
        <v>288</v>
      </c>
      <c r="C54" s="1" t="s">
        <v>73</v>
      </c>
      <c r="D54" s="9" t="n">
        <v>1905</v>
      </c>
      <c r="E54" s="9" t="n">
        <f aca="false">makaralar[[#This Row],[UZUNLUK (mt)]]-SUMIF(serim[Makara Numarası],makaralar[[#This Row],[MAKARA NO]],serim[Serim(m)])</f>
        <v>300</v>
      </c>
    </row>
    <row r="55" customFormat="false" ht="14.25" hidden="false" customHeight="false" outlineLevel="0" collapsed="false">
      <c r="A55" s="1" t="s">
        <v>23</v>
      </c>
      <c r="B55" s="1" t="n">
        <v>288</v>
      </c>
      <c r="C55" s="1" t="s">
        <v>74</v>
      </c>
      <c r="D55" s="9" t="n">
        <v>2014</v>
      </c>
      <c r="E55" s="9" t="n">
        <f aca="false">makaralar[[#This Row],[UZUNLUK (mt)]]-SUMIF(serim[Makara Numarası],makaralar[[#This Row],[MAKARA NO]],serim[Serim(m)])</f>
        <v>2014</v>
      </c>
    </row>
    <row r="56" customFormat="false" ht="14.25" hidden="false" customHeight="false" outlineLevel="0" collapsed="false">
      <c r="A56" s="1" t="s">
        <v>23</v>
      </c>
      <c r="B56" s="1" t="n">
        <v>288</v>
      </c>
      <c r="C56" s="1" t="s">
        <v>75</v>
      </c>
      <c r="D56" s="9" t="n">
        <v>2016</v>
      </c>
      <c r="E56" s="9" t="n">
        <f aca="false">makaralar[[#This Row],[UZUNLUK (mt)]]-SUMIF(serim[Makara Numarası],makaralar[[#This Row],[MAKARA NO]],serim[Serim(m)])</f>
        <v>2016</v>
      </c>
    </row>
    <row r="57" customFormat="false" ht="14.25" hidden="false" customHeight="false" outlineLevel="0" collapsed="false">
      <c r="A57" s="1" t="s">
        <v>23</v>
      </c>
      <c r="B57" s="1" t="n">
        <v>288</v>
      </c>
      <c r="C57" s="1" t="s">
        <v>76</v>
      </c>
      <c r="D57" s="9" t="n">
        <v>2010</v>
      </c>
      <c r="E57" s="9" t="n">
        <f aca="false">makaralar[[#This Row],[UZUNLUK (mt)]]-SUMIF(serim[Makara Numarası],makaralar[[#This Row],[MAKARA NO]],serim[Serim(m)])</f>
        <v>2010</v>
      </c>
    </row>
    <row r="58" customFormat="false" ht="14.25" hidden="false" customHeight="false" outlineLevel="0" collapsed="false">
      <c r="A58" s="1" t="s">
        <v>23</v>
      </c>
      <c r="B58" s="1" t="n">
        <v>288</v>
      </c>
      <c r="C58" s="1" t="s">
        <v>77</v>
      </c>
      <c r="D58" s="9" t="n">
        <v>2027</v>
      </c>
      <c r="E58" s="9" t="n">
        <f aca="false">makaralar[[#This Row],[UZUNLUK (mt)]]-SUMIF(serim[Makara Numarası],makaralar[[#This Row],[MAKARA NO]],serim[Serim(m)])</f>
        <v>2027</v>
      </c>
    </row>
    <row r="59" customFormat="false" ht="14.25" hidden="false" customHeight="false" outlineLevel="0" collapsed="false">
      <c r="A59" s="1" t="s">
        <v>23</v>
      </c>
      <c r="B59" s="1" t="n">
        <v>288</v>
      </c>
      <c r="C59" s="1" t="s">
        <v>78</v>
      </c>
      <c r="D59" s="9" t="n">
        <v>2013</v>
      </c>
      <c r="E59" s="9" t="n">
        <f aca="false">makaralar[[#This Row],[UZUNLUK (mt)]]-SUMIF(serim[Makara Numarası],makaralar[[#This Row],[MAKARA NO]],serim[Serim(m)])</f>
        <v>220</v>
      </c>
    </row>
    <row r="60" customFormat="false" ht="14.25" hidden="false" customHeight="false" outlineLevel="0" collapsed="false">
      <c r="A60" s="1" t="s">
        <v>23</v>
      </c>
      <c r="B60" s="1" t="n">
        <v>288</v>
      </c>
      <c r="C60" s="1" t="s">
        <v>79</v>
      </c>
      <c r="D60" s="9" t="n">
        <v>2003</v>
      </c>
      <c r="E60" s="9" t="n">
        <f aca="false">makaralar[[#This Row],[UZUNLUK (mt)]]-SUMIF(serim[Makara Numarası],makaralar[[#This Row],[MAKARA NO]],serim[Serim(m)])</f>
        <v>2003</v>
      </c>
    </row>
    <row r="61" customFormat="false" ht="14.25" hidden="false" customHeight="false" outlineLevel="0" collapsed="false">
      <c r="A61" s="1" t="s">
        <v>23</v>
      </c>
      <c r="B61" s="1" t="n">
        <v>288</v>
      </c>
      <c r="C61" s="1" t="s">
        <v>80</v>
      </c>
      <c r="D61" s="9" t="n">
        <v>2013</v>
      </c>
      <c r="E61" s="9" t="n">
        <f aca="false">makaralar[[#This Row],[UZUNLUK (mt)]]-SUMIF(serim[Makara Numarası],makaralar[[#This Row],[MAKARA NO]],serim[Serim(m)])</f>
        <v>0</v>
      </c>
    </row>
    <row r="62" customFormat="false" ht="14.25" hidden="false" customHeight="false" outlineLevel="0" collapsed="false">
      <c r="A62" s="1" t="s">
        <v>23</v>
      </c>
      <c r="B62" s="1" t="n">
        <v>288</v>
      </c>
      <c r="C62" s="1" t="s">
        <v>81</v>
      </c>
      <c r="D62" s="9" t="n">
        <v>1990</v>
      </c>
      <c r="E62" s="9" t="n">
        <f aca="false">makaralar[[#This Row],[UZUNLUK (mt)]]-SUMIF(serim[Makara Numarası],makaralar[[#This Row],[MAKARA NO]],serim[Serim(m)])</f>
        <v>499</v>
      </c>
    </row>
    <row r="63" customFormat="false" ht="14.25" hidden="false" customHeight="false" outlineLevel="0" collapsed="false">
      <c r="A63" s="1" t="s">
        <v>23</v>
      </c>
      <c r="B63" s="1" t="n">
        <v>288</v>
      </c>
      <c r="C63" s="1" t="s">
        <v>82</v>
      </c>
      <c r="D63" s="9" t="n">
        <v>2004</v>
      </c>
      <c r="E63" s="9" t="n">
        <f aca="false">makaralar[[#This Row],[UZUNLUK (mt)]]-SUMIF(serim[Makara Numarası],makaralar[[#This Row],[MAKARA NO]],serim[Serim(m)])</f>
        <v>2004</v>
      </c>
    </row>
    <row r="64" customFormat="false" ht="14.25" hidden="false" customHeight="false" outlineLevel="0" collapsed="false">
      <c r="A64" s="1" t="s">
        <v>23</v>
      </c>
      <c r="B64" s="1" t="n">
        <v>288</v>
      </c>
      <c r="C64" s="1" t="s">
        <v>83</v>
      </c>
      <c r="D64" s="9" t="n">
        <v>1990</v>
      </c>
      <c r="E64" s="9" t="n">
        <f aca="false">makaralar[[#This Row],[UZUNLUK (mt)]]-SUMIF(serim[Makara Numarası],makaralar[[#This Row],[MAKARA NO]],serim[Serim(m)])</f>
        <v>190</v>
      </c>
    </row>
    <row r="65" customFormat="false" ht="14.25" hidden="false" customHeight="false" outlineLevel="0" collapsed="false">
      <c r="A65" s="1" t="s">
        <v>23</v>
      </c>
      <c r="B65" s="1" t="n">
        <v>288</v>
      </c>
      <c r="C65" s="1" t="s">
        <v>84</v>
      </c>
      <c r="D65" s="9" t="n">
        <v>2004</v>
      </c>
      <c r="E65" s="9" t="n">
        <f aca="false">makaralar[[#This Row],[UZUNLUK (mt)]]-SUMIF(serim[Makara Numarası],makaralar[[#This Row],[MAKARA NO]],serim[Serim(m)])</f>
        <v>0</v>
      </c>
    </row>
    <row r="66" customFormat="false" ht="14.25" hidden="false" customHeight="false" outlineLevel="0" collapsed="false">
      <c r="A66" s="1" t="s">
        <v>23</v>
      </c>
      <c r="B66" s="1" t="n">
        <v>288</v>
      </c>
      <c r="C66" s="1" t="s">
        <v>85</v>
      </c>
      <c r="D66" s="9" t="n">
        <v>1980</v>
      </c>
      <c r="E66" s="9" t="n">
        <f aca="false">makaralar[[#This Row],[UZUNLUK (mt)]]-SUMIF(serim[Makara Numarası],makaralar[[#This Row],[MAKARA NO]],serim[Serim(m)])</f>
        <v>1060</v>
      </c>
    </row>
    <row r="67" customFormat="false" ht="14.25" hidden="false" customHeight="false" outlineLevel="0" collapsed="false">
      <c r="A67" s="1" t="s">
        <v>23</v>
      </c>
      <c r="B67" s="1" t="n">
        <v>288</v>
      </c>
      <c r="C67" s="1" t="s">
        <v>86</v>
      </c>
      <c r="D67" s="9" t="n">
        <v>2054</v>
      </c>
      <c r="E67" s="9" t="n">
        <f aca="false">makaralar[[#This Row],[UZUNLUK (mt)]]-SUMIF(serim[Makara Numarası],makaralar[[#This Row],[MAKARA NO]],serim[Serim(m)])</f>
        <v>0</v>
      </c>
    </row>
    <row r="68" customFormat="false" ht="14.25" hidden="false" customHeight="false" outlineLevel="0" collapsed="false">
      <c r="A68" s="1" t="s">
        <v>23</v>
      </c>
      <c r="B68" s="1" t="n">
        <v>288</v>
      </c>
      <c r="C68" s="1" t="s">
        <v>87</v>
      </c>
      <c r="D68" s="9" t="n">
        <v>2055</v>
      </c>
      <c r="E68" s="9" t="n">
        <f aca="false">makaralar[[#This Row],[UZUNLUK (mt)]]-SUMIF(serim[Makara Numarası],makaralar[[#This Row],[MAKARA NO]],serim[Serim(m)])</f>
        <v>2055</v>
      </c>
    </row>
    <row r="69" customFormat="false" ht="14.25" hidden="false" customHeight="false" outlineLevel="0" collapsed="false">
      <c r="A69" s="1" t="s">
        <v>23</v>
      </c>
      <c r="B69" s="1" t="n">
        <v>288</v>
      </c>
      <c r="C69" s="1" t="s">
        <v>88</v>
      </c>
      <c r="D69" s="9" t="n">
        <v>2153</v>
      </c>
      <c r="E69" s="9" t="n">
        <f aca="false">makaralar[[#This Row],[UZUNLUK (mt)]]-SUMIF(serim[Makara Numarası],makaralar[[#This Row],[MAKARA NO]],serim[Serim(m)])</f>
        <v>2153</v>
      </c>
    </row>
    <row r="70" customFormat="false" ht="14.25" hidden="false" customHeight="false" outlineLevel="0" collapsed="false">
      <c r="A70" s="1" t="s">
        <v>23</v>
      </c>
      <c r="B70" s="1" t="n">
        <v>288</v>
      </c>
      <c r="C70" s="1" t="s">
        <v>89</v>
      </c>
      <c r="D70" s="9" t="n">
        <v>1939</v>
      </c>
      <c r="E70" s="9" t="n">
        <f aca="false">makaralar[[#This Row],[UZUNLUK (mt)]]-SUMIF(serim[Makara Numarası],makaralar[[#This Row],[MAKARA NO]],serim[Serim(m)])</f>
        <v>0</v>
      </c>
    </row>
    <row r="71" customFormat="false" ht="14.25" hidden="false" customHeight="false" outlineLevel="0" collapsed="false">
      <c r="A71" s="1" t="s">
        <v>23</v>
      </c>
      <c r="B71" s="1" t="n">
        <v>24</v>
      </c>
      <c r="C71" s="1" t="s">
        <v>90</v>
      </c>
      <c r="D71" s="9" t="n">
        <v>4077</v>
      </c>
      <c r="E71" s="9" t="n">
        <f aca="false">makaralar[[#This Row],[UZUNLUK (mt)]]-SUMIF(serim[Makara Numarası],makaralar[[#This Row],[MAKARA NO]],serim[Serim(m)])</f>
        <v>4077</v>
      </c>
    </row>
    <row r="72" customFormat="false" ht="14.25" hidden="false" customHeight="false" outlineLevel="0" collapsed="false">
      <c r="A72" s="1" t="s">
        <v>23</v>
      </c>
      <c r="B72" s="1" t="n">
        <v>24</v>
      </c>
      <c r="C72" s="1" t="s">
        <v>91</v>
      </c>
      <c r="D72" s="9" t="n">
        <v>4094</v>
      </c>
      <c r="E72" s="9" t="n">
        <f aca="false">makaralar[[#This Row],[UZUNLUK (mt)]]-SUMIF(serim[Makara Numarası],makaralar[[#This Row],[MAKARA NO]],serim[Serim(m)])</f>
        <v>4094</v>
      </c>
    </row>
    <row r="73" customFormat="false" ht="14.25" hidden="false" customHeight="false" outlineLevel="0" collapsed="false">
      <c r="A73" s="1" t="s">
        <v>23</v>
      </c>
      <c r="B73" s="1" t="n">
        <v>24</v>
      </c>
      <c r="C73" s="1" t="s">
        <v>92</v>
      </c>
      <c r="D73" s="9" t="n">
        <v>3975</v>
      </c>
      <c r="E73" s="9" t="n">
        <f aca="false">makaralar[[#This Row],[UZUNLUK (mt)]]-SUMIF(serim[Makara Numarası],makaralar[[#This Row],[MAKARA NO]],serim[Serim(m)])</f>
        <v>3975</v>
      </c>
    </row>
    <row r="74" customFormat="false" ht="14.25" hidden="false" customHeight="false" outlineLevel="0" collapsed="false">
      <c r="A74" s="1" t="s">
        <v>23</v>
      </c>
      <c r="B74" s="1" t="n">
        <v>24</v>
      </c>
      <c r="C74" s="1" t="s">
        <v>93</v>
      </c>
      <c r="D74" s="9" t="n">
        <v>4080</v>
      </c>
      <c r="E74" s="9" t="n">
        <f aca="false">makaralar[[#This Row],[UZUNLUK (mt)]]-SUMIF(serim[Makara Numarası],makaralar[[#This Row],[MAKARA NO]],serim[Serim(m)])</f>
        <v>4080</v>
      </c>
    </row>
    <row r="75" customFormat="false" ht="14.25" hidden="false" customHeight="false" outlineLevel="0" collapsed="false">
      <c r="A75" s="1" t="s">
        <v>23</v>
      </c>
      <c r="B75" s="1" t="n">
        <v>24</v>
      </c>
      <c r="C75" s="1" t="s">
        <v>94</v>
      </c>
      <c r="D75" s="9" t="n">
        <v>4046</v>
      </c>
      <c r="E75" s="9" t="n">
        <f aca="false">makaralar[[#This Row],[UZUNLUK (mt)]]-SUMIF(serim[Makara Numarası],makaralar[[#This Row],[MAKARA NO]],serim[Serim(m)])</f>
        <v>4046</v>
      </c>
    </row>
    <row r="76" customFormat="false" ht="14.25" hidden="false" customHeight="false" outlineLevel="0" collapsed="false">
      <c r="A76" s="1" t="s">
        <v>23</v>
      </c>
      <c r="B76" s="1" t="n">
        <v>24</v>
      </c>
      <c r="C76" s="1" t="s">
        <v>95</v>
      </c>
      <c r="D76" s="9" t="n">
        <v>4085</v>
      </c>
      <c r="E76" s="9" t="n">
        <f aca="false">makaralar[[#This Row],[UZUNLUK (mt)]]-SUMIF(serim[Makara Numarası],makaralar[[#This Row],[MAKARA NO]],serim[Serim(m)])</f>
        <v>4085</v>
      </c>
    </row>
    <row r="77" customFormat="false" ht="14.25" hidden="false" customHeight="false" outlineLevel="0" collapsed="false">
      <c r="A77" s="1" t="s">
        <v>23</v>
      </c>
      <c r="B77" s="1" t="n">
        <v>24</v>
      </c>
      <c r="C77" s="1" t="s">
        <v>96</v>
      </c>
      <c r="D77" s="9" t="n">
        <v>4062</v>
      </c>
      <c r="E77" s="9" t="n">
        <f aca="false">makaralar[[#This Row],[UZUNLUK (mt)]]-SUMIF(serim[Makara Numarası],makaralar[[#This Row],[MAKARA NO]],serim[Serim(m)])</f>
        <v>4062</v>
      </c>
    </row>
    <row r="78" customFormat="false" ht="14.25" hidden="false" customHeight="false" outlineLevel="0" collapsed="false">
      <c r="A78" s="1" t="s">
        <v>23</v>
      </c>
      <c r="B78" s="1" t="n">
        <v>24</v>
      </c>
      <c r="C78" s="1" t="s">
        <v>97</v>
      </c>
      <c r="D78" s="9" t="n">
        <v>4061</v>
      </c>
      <c r="E78" s="9" t="n">
        <f aca="false">makaralar[[#This Row],[UZUNLUK (mt)]]-SUMIF(serim[Makara Numarası],makaralar[[#This Row],[MAKARA NO]],serim[Serim(m)])</f>
        <v>4061</v>
      </c>
    </row>
    <row r="79" customFormat="false" ht="14.25" hidden="false" customHeight="false" outlineLevel="0" collapsed="false">
      <c r="A79" s="1" t="s">
        <v>23</v>
      </c>
      <c r="B79" s="1" t="n">
        <v>288</v>
      </c>
      <c r="C79" s="1" t="s">
        <v>98</v>
      </c>
      <c r="D79" s="9" t="n">
        <v>2009</v>
      </c>
      <c r="E79" s="9" t="n">
        <f aca="false">makaralar[[#This Row],[UZUNLUK (mt)]]-SUMIF(serim[Makara Numarası],makaralar[[#This Row],[MAKARA NO]],serim[Serim(m)])</f>
        <v>2009</v>
      </c>
    </row>
    <row r="80" customFormat="false" ht="14.25" hidden="false" customHeight="false" outlineLevel="0" collapsed="false">
      <c r="A80" s="1" t="s">
        <v>23</v>
      </c>
      <c r="B80" s="1" t="n">
        <v>288</v>
      </c>
      <c r="C80" s="1" t="s">
        <v>99</v>
      </c>
      <c r="D80" s="9" t="n">
        <v>2010</v>
      </c>
      <c r="E80" s="9" t="n">
        <f aca="false">makaralar[[#This Row],[UZUNLUK (mt)]]-SUMIF(serim[Makara Numarası],makaralar[[#This Row],[MAKARA NO]],serim[Serim(m)])</f>
        <v>2010</v>
      </c>
    </row>
    <row r="81" customFormat="false" ht="14.25" hidden="false" customHeight="false" outlineLevel="0" collapsed="false">
      <c r="A81" s="1" t="s">
        <v>23</v>
      </c>
      <c r="B81" s="1" t="n">
        <v>288</v>
      </c>
      <c r="C81" s="1" t="s">
        <v>100</v>
      </c>
      <c r="D81" s="9" t="n">
        <v>2009</v>
      </c>
      <c r="E81" s="9" t="n">
        <f aca="false">makaralar[[#This Row],[UZUNLUK (mt)]]-SUMIF(serim[Makara Numarası],makaralar[[#This Row],[MAKARA NO]],serim[Serim(m)])</f>
        <v>2009</v>
      </c>
    </row>
    <row r="82" customFormat="false" ht="14.25" hidden="false" customHeight="false" outlineLevel="0" collapsed="false">
      <c r="A82" s="1" t="s">
        <v>23</v>
      </c>
      <c r="B82" s="1" t="n">
        <v>288</v>
      </c>
      <c r="C82" s="1" t="s">
        <v>101</v>
      </c>
      <c r="D82" s="9" t="n">
        <v>2044</v>
      </c>
      <c r="E82" s="9" t="n">
        <f aca="false">makaralar[[#This Row],[UZUNLUK (mt)]]-SUMIF(serim[Makara Numarası],makaralar[[#This Row],[MAKARA NO]],serim[Serim(m)])</f>
        <v>2044</v>
      </c>
    </row>
    <row r="83" customFormat="false" ht="14.25" hidden="false" customHeight="false" outlineLevel="0" collapsed="false">
      <c r="A83" s="1" t="s">
        <v>23</v>
      </c>
      <c r="B83" s="1" t="n">
        <v>288</v>
      </c>
      <c r="C83" s="1" t="s">
        <v>102</v>
      </c>
      <c r="D83" s="9" t="n">
        <v>2020</v>
      </c>
      <c r="E83" s="9" t="n">
        <f aca="false">makaralar[[#This Row],[UZUNLUK (mt)]]-SUMIF(serim[Makara Numarası],makaralar[[#This Row],[MAKARA NO]],serim[Serim(m)])</f>
        <v>2020</v>
      </c>
    </row>
    <row r="84" customFormat="false" ht="14.25" hidden="false" customHeight="false" outlineLevel="0" collapsed="false">
      <c r="A84" s="1" t="s">
        <v>23</v>
      </c>
      <c r="B84" s="1" t="n">
        <v>288</v>
      </c>
      <c r="C84" s="1" t="s">
        <v>103</v>
      </c>
      <c r="D84" s="9" t="n">
        <v>2013</v>
      </c>
      <c r="E84" s="9" t="n">
        <f aca="false">makaralar[[#This Row],[UZUNLUK (mt)]]-SUMIF(serim[Makara Numarası],makaralar[[#This Row],[MAKARA NO]],serim[Serim(m)])</f>
        <v>2013</v>
      </c>
    </row>
    <row r="85" customFormat="false" ht="14.25" hidden="false" customHeight="false" outlineLevel="0" collapsed="false">
      <c r="A85" s="1" t="s">
        <v>23</v>
      </c>
      <c r="B85" s="1" t="n">
        <v>288</v>
      </c>
      <c r="C85" s="1" t="s">
        <v>104</v>
      </c>
      <c r="D85" s="9" t="n">
        <v>2008</v>
      </c>
      <c r="E85" s="9" t="n">
        <f aca="false">makaralar[[#This Row],[UZUNLUK (mt)]]-SUMIF(serim[Makara Numarası],makaralar[[#This Row],[MAKARA NO]],serim[Serim(m)])</f>
        <v>2008</v>
      </c>
    </row>
    <row r="86" customFormat="false" ht="14.25" hidden="false" customHeight="false" outlineLevel="0" collapsed="false">
      <c r="A86" s="1" t="s">
        <v>23</v>
      </c>
      <c r="B86" s="1" t="n">
        <v>288</v>
      </c>
      <c r="C86" s="1" t="s">
        <v>105</v>
      </c>
      <c r="D86" s="9" t="n">
        <v>2059</v>
      </c>
      <c r="E86" s="9" t="n">
        <f aca="false">makaralar[[#This Row],[UZUNLUK (mt)]]-SUMIF(serim[Makara Numarası],makaralar[[#This Row],[MAKARA NO]],serim[Serim(m)])</f>
        <v>2059</v>
      </c>
    </row>
    <row r="87" customFormat="false" ht="14.25" hidden="false" customHeight="false" outlineLevel="0" collapsed="false">
      <c r="A87" s="1" t="s">
        <v>23</v>
      </c>
      <c r="B87" s="1" t="n">
        <v>288</v>
      </c>
      <c r="C87" s="1" t="s">
        <v>106</v>
      </c>
      <c r="D87" s="9" t="n">
        <v>2022</v>
      </c>
      <c r="E87" s="9" t="n">
        <f aca="false">makaralar[[#This Row],[UZUNLUK (mt)]]-SUMIF(serim[Makara Numarası],makaralar[[#This Row],[MAKARA NO]],serim[Serim(m)])</f>
        <v>2022</v>
      </c>
    </row>
    <row r="88" customFormat="false" ht="14.25" hidden="false" customHeight="false" outlineLevel="0" collapsed="false">
      <c r="A88" s="1" t="s">
        <v>23</v>
      </c>
      <c r="B88" s="1" t="n">
        <v>288</v>
      </c>
      <c r="C88" s="1" t="s">
        <v>107</v>
      </c>
      <c r="D88" s="9" t="n">
        <v>2025</v>
      </c>
      <c r="E88" s="9" t="n">
        <f aca="false">makaralar[[#This Row],[UZUNLUK (mt)]]-SUMIF(serim[Makara Numarası],makaralar[[#This Row],[MAKARA NO]],serim[Serim(m)])</f>
        <v>2025</v>
      </c>
    </row>
    <row r="89" customFormat="false" ht="14.25" hidden="false" customHeight="false" outlineLevel="0" collapsed="false">
      <c r="A89" s="1" t="s">
        <v>23</v>
      </c>
      <c r="B89" s="1" t="n">
        <v>288</v>
      </c>
      <c r="C89" s="1" t="s">
        <v>108</v>
      </c>
      <c r="D89" s="9" t="n">
        <v>2024</v>
      </c>
      <c r="E89" s="9" t="n">
        <f aca="false">makaralar[[#This Row],[UZUNLUK (mt)]]-SUMIF(serim[Makara Numarası],makaralar[[#This Row],[MAKARA NO]],serim[Serim(m)])</f>
        <v>2024</v>
      </c>
    </row>
    <row r="90" customFormat="false" ht="14.25" hidden="false" customHeight="false" outlineLevel="0" collapsed="false">
      <c r="A90" s="1" t="s">
        <v>23</v>
      </c>
      <c r="B90" s="1" t="n">
        <v>288</v>
      </c>
      <c r="C90" s="1" t="s">
        <v>109</v>
      </c>
      <c r="D90" s="9" t="n">
        <v>1991</v>
      </c>
      <c r="E90" s="9" t="n">
        <f aca="false">makaralar[[#This Row],[UZUNLUK (mt)]]-SUMIF(serim[Makara Numarası],makaralar[[#This Row],[MAKARA NO]],serim[Serim(m)])</f>
        <v>1991</v>
      </c>
    </row>
    <row r="91" customFormat="false" ht="14.25" hidden="false" customHeight="false" outlineLevel="0" collapsed="false">
      <c r="A91" s="1" t="s">
        <v>23</v>
      </c>
      <c r="B91" s="1" t="n">
        <v>288</v>
      </c>
      <c r="C91" s="1" t="s">
        <v>110</v>
      </c>
      <c r="D91" s="9" t="n">
        <v>2032</v>
      </c>
      <c r="E91" s="9" t="n">
        <f aca="false">makaralar[[#This Row],[UZUNLUK (mt)]]-SUMIF(serim[Makara Numarası],makaralar[[#This Row],[MAKARA NO]],serim[Serim(m)])</f>
        <v>2032</v>
      </c>
    </row>
    <row r="92" customFormat="false" ht="14.25" hidden="false" customHeight="false" outlineLevel="0" collapsed="false">
      <c r="A92" s="1" t="s">
        <v>23</v>
      </c>
      <c r="B92" s="1" t="n">
        <v>288</v>
      </c>
      <c r="C92" s="1" t="s">
        <v>111</v>
      </c>
      <c r="D92" s="9" t="n">
        <v>2025</v>
      </c>
      <c r="E92" s="9" t="n">
        <f aca="false">makaralar[[#This Row],[UZUNLUK (mt)]]-SUMIF(serim[Makara Numarası],makaralar[[#This Row],[MAKARA NO]],serim[Serim(m)])</f>
        <v>2025</v>
      </c>
    </row>
    <row r="93" customFormat="false" ht="14.25" hidden="false" customHeight="false" outlineLevel="0" collapsed="false">
      <c r="A93" s="1" t="s">
        <v>23</v>
      </c>
      <c r="B93" s="1" t="n">
        <v>288</v>
      </c>
      <c r="C93" s="1" t="s">
        <v>112</v>
      </c>
      <c r="D93" s="9" t="n">
        <v>2024</v>
      </c>
      <c r="E93" s="9" t="n">
        <f aca="false">makaralar[[#This Row],[UZUNLUK (mt)]]-SUMIF(serim[Makara Numarası],makaralar[[#This Row],[MAKARA NO]],serim[Serim(m)])</f>
        <v>2024</v>
      </c>
    </row>
    <row r="94" customFormat="false" ht="14.25" hidden="false" customHeight="false" outlineLevel="0" collapsed="false">
      <c r="A94" s="1" t="s">
        <v>23</v>
      </c>
      <c r="B94" s="1" t="n">
        <v>288</v>
      </c>
      <c r="C94" s="1" t="s">
        <v>113</v>
      </c>
      <c r="D94" s="9" t="n">
        <v>2058</v>
      </c>
      <c r="E94" s="9" t="n">
        <f aca="false">makaralar[[#This Row],[UZUNLUK (mt)]]-SUMIF(serim[Makara Numarası],makaralar[[#This Row],[MAKARA NO]],serim[Serim(m)])</f>
        <v>2058</v>
      </c>
    </row>
    <row r="95" customFormat="false" ht="14.25" hidden="false" customHeight="false" outlineLevel="0" collapsed="false">
      <c r="A95" s="1" t="s">
        <v>19</v>
      </c>
      <c r="B95" s="1" t="n">
        <v>24</v>
      </c>
      <c r="C95" s="1" t="s">
        <v>114</v>
      </c>
      <c r="D95" s="9" t="n">
        <v>4088</v>
      </c>
      <c r="E95" s="9" t="n">
        <f aca="false">makaralar[[#This Row],[UZUNLUK (mt)]]-SUMIF(serim[Makara Numarası],makaralar[[#This Row],[MAKARA NO]],serim[Serim(m)])</f>
        <v>4088</v>
      </c>
    </row>
    <row r="96" customFormat="false" ht="14.25" hidden="false" customHeight="false" outlineLevel="0" collapsed="false">
      <c r="A96" s="1" t="s">
        <v>19</v>
      </c>
      <c r="B96" s="1" t="n">
        <v>24</v>
      </c>
      <c r="C96" s="1" t="s">
        <v>115</v>
      </c>
      <c r="D96" s="9" t="n">
        <v>4090</v>
      </c>
      <c r="E96" s="9" t="n">
        <f aca="false">makaralar[[#This Row],[UZUNLUK (mt)]]-SUMIF(serim[Makara Numarası],makaralar[[#This Row],[MAKARA NO]],serim[Serim(m)])</f>
        <v>4090</v>
      </c>
    </row>
    <row r="97" customFormat="false" ht="14.25" hidden="false" customHeight="false" outlineLevel="0" collapsed="false">
      <c r="A97" s="1" t="s">
        <v>19</v>
      </c>
      <c r="B97" s="1" t="n">
        <v>24</v>
      </c>
      <c r="C97" s="1" t="s">
        <v>116</v>
      </c>
      <c r="D97" s="9" t="n">
        <v>4059</v>
      </c>
      <c r="E97" s="9" t="n">
        <f aca="false">makaralar[[#This Row],[UZUNLUK (mt)]]-SUMIF(serim[Makara Numarası],makaralar[[#This Row],[MAKARA NO]],serim[Serim(m)])</f>
        <v>4059</v>
      </c>
    </row>
    <row r="98" customFormat="false" ht="14.25" hidden="false" customHeight="false" outlineLevel="0" collapsed="false">
      <c r="A98" s="1" t="s">
        <v>19</v>
      </c>
      <c r="B98" s="1" t="n">
        <v>24</v>
      </c>
      <c r="C98" s="1" t="s">
        <v>117</v>
      </c>
      <c r="D98" s="9" t="n">
        <v>4129</v>
      </c>
      <c r="E98" s="9" t="n">
        <f aca="false">makaralar[[#This Row],[UZUNLUK (mt)]]-SUMIF(serim[Makara Numarası],makaralar[[#This Row],[MAKARA NO]],serim[Serim(m)])</f>
        <v>4129</v>
      </c>
    </row>
    <row r="99" customFormat="false" ht="14.25" hidden="false" customHeight="false" outlineLevel="0" collapsed="false">
      <c r="A99" s="1" t="s">
        <v>19</v>
      </c>
      <c r="B99" s="1" t="n">
        <v>24</v>
      </c>
      <c r="C99" s="1" t="s">
        <v>118</v>
      </c>
      <c r="D99" s="9" t="n">
        <v>4156</v>
      </c>
      <c r="E99" s="9" t="n">
        <f aca="false">makaralar[[#This Row],[UZUNLUK (mt)]]-SUMIF(serim[Makara Numarası],makaralar[[#This Row],[MAKARA NO]],serim[Serim(m)])</f>
        <v>4156</v>
      </c>
    </row>
    <row r="100" customFormat="false" ht="14.25" hidden="false" customHeight="false" outlineLevel="0" collapsed="false">
      <c r="A100" s="1" t="s">
        <v>19</v>
      </c>
      <c r="B100" s="1" t="n">
        <v>288</v>
      </c>
      <c r="C100" s="1" t="s">
        <v>119</v>
      </c>
      <c r="D100" s="9" t="n">
        <v>2029</v>
      </c>
      <c r="E100" s="9" t="n">
        <f aca="false">makaralar[[#This Row],[UZUNLUK (mt)]]-SUMIF(serim[Makara Numarası],makaralar[[#This Row],[MAKARA NO]],serim[Serim(m)])</f>
        <v>2029</v>
      </c>
    </row>
    <row r="101" customFormat="false" ht="14.25" hidden="false" customHeight="false" outlineLevel="0" collapsed="false">
      <c r="A101" s="1" t="s">
        <v>19</v>
      </c>
      <c r="B101" s="1" t="n">
        <v>288</v>
      </c>
      <c r="C101" s="1" t="s">
        <v>120</v>
      </c>
      <c r="D101" s="9" t="n">
        <v>2030</v>
      </c>
      <c r="E101" s="9" t="n">
        <f aca="false">makaralar[[#This Row],[UZUNLUK (mt)]]-SUMIF(serim[Makara Numarası],makaralar[[#This Row],[MAKARA NO]],serim[Serim(m)])</f>
        <v>2030</v>
      </c>
    </row>
    <row r="102" customFormat="false" ht="14.25" hidden="false" customHeight="false" outlineLevel="0" collapsed="false">
      <c r="A102" s="1" t="s">
        <v>19</v>
      </c>
      <c r="B102" s="1" t="n">
        <v>288</v>
      </c>
      <c r="C102" s="1" t="s">
        <v>121</v>
      </c>
      <c r="D102" s="9" t="n">
        <v>2028</v>
      </c>
      <c r="E102" s="9" t="n">
        <f aca="false">makaralar[[#This Row],[UZUNLUK (mt)]]-SUMIF(serim[Makara Numarası],makaralar[[#This Row],[MAKARA NO]],serim[Serim(m)])</f>
        <v>2028</v>
      </c>
    </row>
    <row r="103" customFormat="false" ht="14.25" hidden="false" customHeight="false" outlineLevel="0" collapsed="false">
      <c r="A103" s="1" t="s">
        <v>19</v>
      </c>
      <c r="B103" s="1" t="n">
        <v>288</v>
      </c>
      <c r="C103" s="1" t="s">
        <v>122</v>
      </c>
      <c r="D103" s="9" t="n">
        <v>2050</v>
      </c>
      <c r="E103" s="9" t="n">
        <f aca="false">makaralar[[#This Row],[UZUNLUK (mt)]]-SUMIF(serim[Makara Numarası],makaralar[[#This Row],[MAKARA NO]],serim[Serim(m)])</f>
        <v>2050</v>
      </c>
    </row>
    <row r="104" customFormat="false" ht="14.25" hidden="false" customHeight="false" outlineLevel="0" collapsed="false">
      <c r="A104" s="1" t="s">
        <v>19</v>
      </c>
      <c r="B104" s="1" t="n">
        <v>288</v>
      </c>
      <c r="C104" s="1" t="s">
        <v>123</v>
      </c>
      <c r="D104" s="9" t="n">
        <v>2025</v>
      </c>
      <c r="E104" s="9" t="n">
        <f aca="false">makaralar[[#This Row],[UZUNLUK (mt)]]-SUMIF(serim[Makara Numarası],makaralar[[#This Row],[MAKARA NO]],serim[Serim(m)])</f>
        <v>2025</v>
      </c>
    </row>
    <row r="105" customFormat="false" ht="14.25" hidden="false" customHeight="false" outlineLevel="0" collapsed="false">
      <c r="A105" s="1" t="s">
        <v>19</v>
      </c>
      <c r="B105" s="1" t="n">
        <v>288</v>
      </c>
      <c r="C105" s="1" t="s">
        <v>124</v>
      </c>
      <c r="D105" s="9" t="n">
        <v>2024</v>
      </c>
      <c r="E105" s="9" t="n">
        <f aca="false">makaralar[[#This Row],[UZUNLUK (mt)]]-SUMIF(serim[Makara Numarası],makaralar[[#This Row],[MAKARA NO]],serim[Serim(m)])</f>
        <v>2024</v>
      </c>
    </row>
    <row r="106" customFormat="false" ht="14.25" hidden="false" customHeight="false" outlineLevel="0" collapsed="false">
      <c r="A106" s="1" t="s">
        <v>19</v>
      </c>
      <c r="B106" s="1" t="n">
        <v>288</v>
      </c>
      <c r="C106" s="1" t="s">
        <v>125</v>
      </c>
      <c r="D106" s="9" t="n">
        <v>2067</v>
      </c>
      <c r="E106" s="9" t="n">
        <f aca="false">makaralar[[#This Row],[UZUNLUK (mt)]]-SUMIF(serim[Makara Numarası],makaralar[[#This Row],[MAKARA NO]],serim[Serim(m)])</f>
        <v>2067</v>
      </c>
    </row>
    <row r="107" customFormat="false" ht="14.25" hidden="false" customHeight="false" outlineLevel="0" collapsed="false">
      <c r="A107" s="1" t="s">
        <v>19</v>
      </c>
      <c r="B107" s="1" t="n">
        <v>288</v>
      </c>
      <c r="C107" s="1" t="s">
        <v>126</v>
      </c>
      <c r="D107" s="9" t="n">
        <v>2016</v>
      </c>
      <c r="E107" s="9" t="n">
        <f aca="false">makaralar[[#This Row],[UZUNLUK (mt)]]-SUMIF(serim[Makara Numarası],makaralar[[#This Row],[MAKARA NO]],serim[Serim(m)])</f>
        <v>2016</v>
      </c>
    </row>
    <row r="108" customFormat="false" ht="14.25" hidden="false" customHeight="false" outlineLevel="0" collapsed="false">
      <c r="A108" s="1" t="s">
        <v>19</v>
      </c>
      <c r="B108" s="1" t="n">
        <v>288</v>
      </c>
      <c r="C108" s="1" t="s">
        <v>127</v>
      </c>
      <c r="D108" s="9" t="n">
        <v>2124</v>
      </c>
      <c r="E108" s="9" t="n">
        <f aca="false">makaralar[[#This Row],[UZUNLUK (mt)]]-SUMIF(serim[Makara Numarası],makaralar[[#This Row],[MAKARA NO]],serim[Serim(m)])</f>
        <v>2124</v>
      </c>
    </row>
  </sheetData>
  <conditionalFormatting sqref="E1:E1048576">
    <cfRule type="cellIs" priority="2" operator="between" aboveAverage="0" equalAverage="0" bottom="0" percent="0" rank="0" text="" dxfId="3">
      <formula>-1</formula>
      <formula>-100000</formula>
    </cfRule>
  </conditionalFormatting>
  <conditionalFormatting sqref="G1">
    <cfRule type="containsText" priority="3" operator="containsText" aboveAverage="0" equalAverage="0" bottom="0" percent="0" rank="0" text="HATA YOK" dxfId="4">
      <formula>NOT(ISERROR(SEARCH("HATA YOK",G1)))</formula>
    </cfRule>
    <cfRule type="containsText" priority="4" operator="containsText" aboveAverage="0" equalAverage="0" bottom="0" percent="0" rank="0" text="HATA VAR" dxfId="5">
      <formula>NOT(ISERROR(SEARCH("HATA VAR",G1)))</formula>
    </cfRule>
  </conditionalFormatting>
  <printOptions headings="false" gridLines="false" gridLinesSet="true" horizontalCentered="false" verticalCentered="false"/>
  <pageMargins left="0.7" right="0.7" top="0.75" bottom="0.75" header="0.3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&amp;L&amp;"Aptos,Regular"&amp;10&amp;Kff0000 Çok Gizli (Top Secret)&amp;1#_x005F_x000D_</oddHeader>
    <oddFooter>&amp;L_x005F_x000D_&amp;1#&amp;"Aptos,Regular"&amp;10&amp;Kff0000 Çok Gizli (Top Secret)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11"/>
  <sheetViews>
    <sheetView showFormulas="false" showGridLines="true" showRowColHeaders="true" showZeros="true" rightToLeft="false" tabSelected="true" showOutlineSymbols="true" defaultGridColor="true" view="normal" topLeftCell="I1" colorId="64" zoomScale="110" zoomScaleNormal="110" zoomScalePageLayoutView="100" workbookViewId="0">
      <selection pane="topLeft" activeCell="N2" activeCellId="0" sqref="N2"/>
    </sheetView>
  </sheetViews>
  <sheetFormatPr defaultColWidth="8.88671875" defaultRowHeight="9.75" customHeight="true" zeroHeight="false" outlineLevelRow="0" outlineLevelCol="0"/>
  <cols>
    <col collapsed="false" customWidth="true" hidden="false" outlineLevel="0" max="1" min="1" style="10" width="8.67"/>
    <col collapsed="false" customWidth="true" hidden="false" outlineLevel="0" max="2" min="2" style="11" width="8.22"/>
    <col collapsed="false" customWidth="true" hidden="false" outlineLevel="0" max="3" min="3" style="11" width="15.44"/>
    <col collapsed="false" customWidth="true" hidden="false" outlineLevel="0" max="4" min="4" style="11" width="14.79"/>
    <col collapsed="false" customWidth="true" hidden="false" outlineLevel="0" max="5" min="5" style="11" width="13.67"/>
    <col collapsed="false" customWidth="true" hidden="false" outlineLevel="0" max="6" min="6" style="11" width="12"/>
    <col collapsed="false" customWidth="true" hidden="false" outlineLevel="0" max="8" min="7" style="11" width="17.33"/>
    <col collapsed="false" customWidth="true" hidden="false" outlineLevel="0" max="9" min="9" style="11" width="17"/>
    <col collapsed="false" customWidth="true" hidden="false" outlineLevel="0" max="10" min="10" style="11" width="13.67"/>
    <col collapsed="false" customWidth="true" hidden="false" outlineLevel="0" max="11" min="11" style="11" width="17.56"/>
    <col collapsed="false" customWidth="true" hidden="false" outlineLevel="0" max="13" min="12" style="11" width="14.11"/>
    <col collapsed="false" customWidth="true" hidden="false" outlineLevel="0" max="14" min="14" style="11" width="10.78"/>
    <col collapsed="false" customWidth="true" hidden="false" outlineLevel="0" max="15" min="15" style="11" width="13.44"/>
    <col collapsed="false" customWidth="true" hidden="false" outlineLevel="0" max="16" min="16" style="11" width="9.33"/>
    <col collapsed="false" customWidth="true" hidden="false" outlineLevel="0" max="17" min="17" style="11" width="20.56"/>
    <col collapsed="false" customWidth="true" hidden="false" outlineLevel="0" max="18" min="18" style="12" width="11.67"/>
    <col collapsed="false" customWidth="true" hidden="false" outlineLevel="0" max="19" min="19" style="11" width="14.44"/>
    <col collapsed="false" customWidth="true" hidden="false" outlineLevel="0" max="20" min="20" style="11" width="13"/>
    <col collapsed="false" customWidth="true" hidden="false" outlineLevel="0" max="21" min="21" style="11" width="12.56"/>
    <col collapsed="false" customWidth="false" hidden="false" outlineLevel="0" max="16384" min="22" style="11" width="8.88"/>
  </cols>
  <sheetData>
    <row r="1" customFormat="false" ht="11.45" hidden="false" customHeight="false" outlineLevel="0" collapsed="false">
      <c r="A1" s="13" t="s">
        <v>128</v>
      </c>
      <c r="B1" s="14" t="s">
        <v>129</v>
      </c>
      <c r="C1" s="14" t="s">
        <v>130</v>
      </c>
      <c r="D1" s="14" t="s">
        <v>131</v>
      </c>
      <c r="E1" s="14" t="s">
        <v>132</v>
      </c>
      <c r="F1" s="14" t="s">
        <v>133</v>
      </c>
      <c r="G1" s="14" t="s">
        <v>134</v>
      </c>
      <c r="H1" s="14" t="s">
        <v>135</v>
      </c>
      <c r="I1" s="14" t="s">
        <v>136</v>
      </c>
      <c r="J1" s="14" t="s">
        <v>137</v>
      </c>
      <c r="K1" s="14" t="s">
        <v>138</v>
      </c>
      <c r="L1" s="14" t="s">
        <v>139</v>
      </c>
      <c r="M1" s="14" t="s">
        <v>140</v>
      </c>
      <c r="N1" s="14" t="s">
        <v>141</v>
      </c>
      <c r="O1" s="14" t="s">
        <v>142</v>
      </c>
      <c r="P1" s="14" t="s">
        <v>143</v>
      </c>
      <c r="Q1" s="14" t="s">
        <v>144</v>
      </c>
      <c r="R1" s="15" t="s">
        <v>145</v>
      </c>
      <c r="S1" s="14" t="s">
        <v>146</v>
      </c>
      <c r="T1" s="14" t="s">
        <v>147</v>
      </c>
      <c r="U1" s="14" t="s">
        <v>148</v>
      </c>
    </row>
    <row r="2" customFormat="false" ht="10.25" hidden="true" customHeight="false" outlineLevel="0" collapsed="false">
      <c r="A2" s="16" t="n">
        <v>45936</v>
      </c>
      <c r="B2" s="17" t="s">
        <v>149</v>
      </c>
      <c r="C2" s="18" t="s">
        <v>150</v>
      </c>
      <c r="D2" s="19" t="s">
        <v>151</v>
      </c>
      <c r="E2" s="19" t="s">
        <v>152</v>
      </c>
      <c r="F2" s="18" t="s">
        <v>153</v>
      </c>
      <c r="G2" s="19" t="s">
        <v>40</v>
      </c>
      <c r="H2" s="19" t="n">
        <v>2029</v>
      </c>
      <c r="I2" s="19" t="n">
        <v>2029</v>
      </c>
      <c r="J2" s="19" t="n">
        <v>0</v>
      </c>
      <c r="K2" s="19" t="s">
        <v>154</v>
      </c>
      <c r="L2" s="20" t="s">
        <v>155</v>
      </c>
      <c r="M2" s="19" t="s">
        <v>156</v>
      </c>
      <c r="N2" s="20" t="s">
        <v>157</v>
      </c>
      <c r="O2" s="21" t="n">
        <v>2</v>
      </c>
      <c r="P2" s="19" t="s">
        <v>158</v>
      </c>
      <c r="Q2" s="19" t="n">
        <v>0</v>
      </c>
      <c r="R2" s="22" t="n">
        <v>2029</v>
      </c>
      <c r="S2" s="23" t="str">
        <f aca="false" t="array" ref="S2:S2">IF(SUMPRODUCT((makaralar[MAKARA NO]=serim[[#This Row],[Makara Numarası]])*(makaralar[KALAN (mt)]&lt;0))&gt;0,
    "HATA VAR",
    "")</f>
        <v/>
      </c>
      <c r="T2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2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3" customFormat="false" ht="10.25" hidden="false" customHeight="false" outlineLevel="0" collapsed="false">
      <c r="A3" s="16" t="n">
        <v>45939</v>
      </c>
      <c r="B3" s="17" t="s">
        <v>149</v>
      </c>
      <c r="C3" s="18" t="s">
        <v>159</v>
      </c>
      <c r="D3" s="19" t="s">
        <v>160</v>
      </c>
      <c r="E3" s="19" t="s">
        <v>161</v>
      </c>
      <c r="F3" s="18" t="s">
        <v>162</v>
      </c>
      <c r="G3" s="19" t="s">
        <v>28</v>
      </c>
      <c r="H3" s="19" t="n">
        <v>2500</v>
      </c>
      <c r="I3" s="19" t="n">
        <v>2500</v>
      </c>
      <c r="J3" s="19" t="n">
        <v>0</v>
      </c>
      <c r="K3" s="19" t="s">
        <v>163</v>
      </c>
      <c r="L3" s="20" t="s">
        <v>164</v>
      </c>
      <c r="M3" s="19" t="s">
        <v>165</v>
      </c>
      <c r="N3" s="20" t="s">
        <v>166</v>
      </c>
      <c r="O3" s="21" t="n">
        <v>2</v>
      </c>
      <c r="P3" s="19" t="s">
        <v>166</v>
      </c>
      <c r="Q3" s="19" t="n">
        <v>0</v>
      </c>
      <c r="R3" s="22" t="n">
        <v>2500</v>
      </c>
      <c r="S3" s="23" t="str">
        <f aca="false" t="array" ref="S3:S3">IF(SUMPRODUCT((makaralar[MAKARA NO]=serim[[#This Row],[Makara Numarası]])*(makaralar[KALAN (mt)]&lt;0))&gt;0,
    "HATA VAR",
    "")</f>
        <v/>
      </c>
      <c r="T3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3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4" customFormat="false" ht="10.25" hidden="true" customHeight="false" outlineLevel="0" collapsed="false">
      <c r="A4" s="16" t="n">
        <v>45937</v>
      </c>
      <c r="B4" s="17" t="s">
        <v>149</v>
      </c>
      <c r="C4" s="18" t="s">
        <v>167</v>
      </c>
      <c r="D4" s="19" t="s">
        <v>151</v>
      </c>
      <c r="E4" s="19" t="s">
        <v>152</v>
      </c>
      <c r="F4" s="18" t="s">
        <v>153</v>
      </c>
      <c r="G4" s="19" t="s">
        <v>36</v>
      </c>
      <c r="H4" s="19" t="n">
        <v>2019</v>
      </c>
      <c r="I4" s="19" t="n">
        <v>2019</v>
      </c>
      <c r="J4" s="19" t="n">
        <v>0</v>
      </c>
      <c r="K4" s="19" t="s">
        <v>154</v>
      </c>
      <c r="L4" s="20" t="s">
        <v>168</v>
      </c>
      <c r="M4" s="19" t="s">
        <v>158</v>
      </c>
      <c r="N4" s="20" t="s">
        <v>169</v>
      </c>
      <c r="O4" s="21" t="n">
        <v>2</v>
      </c>
      <c r="P4" s="19" t="s">
        <v>170</v>
      </c>
      <c r="Q4" s="19" t="n">
        <v>0</v>
      </c>
      <c r="R4" s="22" t="n">
        <v>2019</v>
      </c>
      <c r="S4" s="23" t="str">
        <f aca="false" t="array" ref="S4:S4">IF(SUMPRODUCT((makaralar[MAKARA NO]=serim[[#This Row],[Makara Numarası]])*(makaralar[KALAN (mt)]&lt;0))&gt;0,
    "HATA VAR",
    "")</f>
        <v/>
      </c>
      <c r="T4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4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5" customFormat="false" ht="10.25" hidden="true" customHeight="false" outlineLevel="0" collapsed="false">
      <c r="A5" s="16" t="n">
        <v>45943</v>
      </c>
      <c r="B5" s="17" t="s">
        <v>149</v>
      </c>
      <c r="C5" s="18" t="s">
        <v>171</v>
      </c>
      <c r="D5" s="19" t="s">
        <v>172</v>
      </c>
      <c r="E5" s="19" t="s">
        <v>173</v>
      </c>
      <c r="F5" s="18" t="s">
        <v>162</v>
      </c>
      <c r="G5" s="19" t="s">
        <v>27</v>
      </c>
      <c r="H5" s="19" t="n">
        <v>793</v>
      </c>
      <c r="I5" s="19" t="n">
        <v>793</v>
      </c>
      <c r="J5" s="19" t="n">
        <v>0</v>
      </c>
      <c r="K5" s="19" t="s">
        <v>174</v>
      </c>
      <c r="L5" s="19" t="s">
        <v>175</v>
      </c>
      <c r="M5" s="19" t="s">
        <v>176</v>
      </c>
      <c r="N5" s="20" t="s">
        <v>177</v>
      </c>
      <c r="O5" s="21" t="n">
        <v>1</v>
      </c>
      <c r="P5" s="19"/>
      <c r="Q5" s="19" t="n">
        <v>0</v>
      </c>
      <c r="R5" s="22" t="n">
        <v>793</v>
      </c>
      <c r="S5" s="23" t="str">
        <f aca="false" t="array" ref="S5:S5">IF(SUMPRODUCT((makaralar[MAKARA NO]=serim[[#This Row],[Makara Numarası]])*(makaralar[KALAN (mt)]&lt;0))&gt;0,
    "HATA VAR",
    "")</f>
        <v/>
      </c>
      <c r="T5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5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6" customFormat="false" ht="10.25" hidden="true" customHeight="false" outlineLevel="0" collapsed="false">
      <c r="A6" s="16" t="n">
        <v>45938</v>
      </c>
      <c r="B6" s="17" t="s">
        <v>149</v>
      </c>
      <c r="C6" s="18" t="s">
        <v>178</v>
      </c>
      <c r="D6" s="19" t="s">
        <v>179</v>
      </c>
      <c r="E6" s="19" t="s">
        <v>180</v>
      </c>
      <c r="F6" s="18" t="s">
        <v>153</v>
      </c>
      <c r="G6" s="19" t="s">
        <v>44</v>
      </c>
      <c r="H6" s="19" t="n">
        <v>2013</v>
      </c>
      <c r="I6" s="19" t="n">
        <v>2013</v>
      </c>
      <c r="J6" s="19" t="n">
        <v>0</v>
      </c>
      <c r="K6" s="19" t="s">
        <v>163</v>
      </c>
      <c r="L6" s="20" t="s">
        <v>181</v>
      </c>
      <c r="M6" s="19" t="s">
        <v>182</v>
      </c>
      <c r="N6" s="20" t="s">
        <v>183</v>
      </c>
      <c r="O6" s="21" t="n">
        <v>1</v>
      </c>
      <c r="P6" s="20" t="s">
        <v>183</v>
      </c>
      <c r="Q6" s="19" t="n">
        <v>0</v>
      </c>
      <c r="R6" s="22" t="n">
        <v>2013</v>
      </c>
      <c r="S6" s="23" t="str">
        <f aca="false" t="array" ref="S6:S6">IF(SUMPRODUCT((makaralar[MAKARA NO]=serim[[#This Row],[Makara Numarası]])*(makaralar[KALAN (mt)]&lt;0))&gt;0,
    "HATA VAR",
    "")</f>
        <v/>
      </c>
      <c r="T6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6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7" customFormat="false" ht="10.25" hidden="true" customHeight="false" outlineLevel="0" collapsed="false">
      <c r="A7" s="16" t="n">
        <v>45939</v>
      </c>
      <c r="B7" s="17" t="s">
        <v>149</v>
      </c>
      <c r="C7" s="18" t="s">
        <v>184</v>
      </c>
      <c r="D7" s="19" t="s">
        <v>185</v>
      </c>
      <c r="E7" s="19" t="s">
        <v>186</v>
      </c>
      <c r="F7" s="18" t="s">
        <v>162</v>
      </c>
      <c r="G7" s="19" t="s">
        <v>28</v>
      </c>
      <c r="H7" s="19" t="n">
        <v>3286</v>
      </c>
      <c r="I7" s="19" t="n">
        <v>3286</v>
      </c>
      <c r="J7" s="19" t="n">
        <v>2500</v>
      </c>
      <c r="K7" s="19" t="s">
        <v>187</v>
      </c>
      <c r="L7" s="20" t="s">
        <v>188</v>
      </c>
      <c r="M7" s="19" t="s">
        <v>189</v>
      </c>
      <c r="N7" s="20" t="s">
        <v>175</v>
      </c>
      <c r="O7" s="21" t="n">
        <v>1</v>
      </c>
      <c r="P7" s="20"/>
      <c r="Q7" s="19" t="n">
        <v>2500</v>
      </c>
      <c r="R7" s="22" t="n">
        <v>786</v>
      </c>
      <c r="S7" s="23" t="str">
        <f aca="false" t="array" ref="S7:S7">IF(SUMPRODUCT((makaralar[MAKARA NO]=serim[[#This Row],[Makara Numarası]])*(makaralar[KALAN (mt)]&lt;0))&gt;0,
    "HATA VAR",
    "")</f>
        <v/>
      </c>
      <c r="T7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7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8" customFormat="false" ht="10.25" hidden="true" customHeight="false" outlineLevel="0" collapsed="false">
      <c r="A8" s="16" t="n">
        <v>45939</v>
      </c>
      <c r="B8" s="17" t="s">
        <v>149</v>
      </c>
      <c r="C8" s="18" t="s">
        <v>190</v>
      </c>
      <c r="D8" s="19" t="s">
        <v>191</v>
      </c>
      <c r="E8" s="19" t="s">
        <v>192</v>
      </c>
      <c r="F8" s="18" t="s">
        <v>162</v>
      </c>
      <c r="G8" s="19" t="s">
        <v>28</v>
      </c>
      <c r="H8" s="19" t="n">
        <v>4080</v>
      </c>
      <c r="I8" s="19" t="n">
        <v>4080</v>
      </c>
      <c r="J8" s="19" t="n">
        <v>3286</v>
      </c>
      <c r="K8" s="19" t="s">
        <v>193</v>
      </c>
      <c r="L8" s="20" t="s">
        <v>194</v>
      </c>
      <c r="M8" s="19" t="s">
        <v>187</v>
      </c>
      <c r="N8" s="20" t="s">
        <v>188</v>
      </c>
      <c r="O8" s="21" t="n">
        <v>1</v>
      </c>
      <c r="P8" s="19"/>
      <c r="Q8" s="19" t="n">
        <v>3286</v>
      </c>
      <c r="R8" s="22" t="n">
        <v>794</v>
      </c>
      <c r="S8" s="23" t="str">
        <f aca="false" t="array" ref="S8:S8">IF(SUMPRODUCT((makaralar[MAKARA NO]=serim[[#This Row],[Makara Numarası]])*(makaralar[KALAN (mt)]&lt;0))&gt;0,
    "HATA VAR",
    "")</f>
        <v/>
      </c>
      <c r="T8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8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9" customFormat="false" ht="10.25" hidden="true" customHeight="false" outlineLevel="0" collapsed="false">
      <c r="A9" s="16" t="n">
        <v>45938</v>
      </c>
      <c r="B9" s="17" t="s">
        <v>149</v>
      </c>
      <c r="C9" s="18" t="s">
        <v>195</v>
      </c>
      <c r="D9" s="19" t="s">
        <v>196</v>
      </c>
      <c r="E9" s="19" t="s">
        <v>197</v>
      </c>
      <c r="F9" s="18" t="s">
        <v>162</v>
      </c>
      <c r="G9" s="19" t="s">
        <v>29</v>
      </c>
      <c r="H9" s="19" t="n">
        <v>1274</v>
      </c>
      <c r="I9" s="19" t="n">
        <v>1274</v>
      </c>
      <c r="J9" s="19" t="n">
        <v>0</v>
      </c>
      <c r="K9" s="19" t="s">
        <v>198</v>
      </c>
      <c r="L9" s="20" t="s">
        <v>199</v>
      </c>
      <c r="M9" s="19" t="s">
        <v>200</v>
      </c>
      <c r="N9" s="20" t="s">
        <v>194</v>
      </c>
      <c r="O9" s="21" t="n">
        <v>1</v>
      </c>
      <c r="P9" s="20"/>
      <c r="Q9" s="19" t="n">
        <v>0</v>
      </c>
      <c r="R9" s="22" t="n">
        <v>1274</v>
      </c>
      <c r="S9" s="23" t="str">
        <f aca="false" t="array" ref="S9:S9">IF(SUMPRODUCT((makaralar[MAKARA NO]=serim[[#This Row],[Makara Numarası]])*(makaralar[KALAN (mt)]&lt;0))&gt;0,
    "HATA VAR",
    "")</f>
        <v/>
      </c>
      <c r="T9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9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10" customFormat="false" ht="10.25" hidden="true" customHeight="false" outlineLevel="0" collapsed="false">
      <c r="A10" s="16" t="n">
        <v>45938</v>
      </c>
      <c r="B10" s="17" t="s">
        <v>149</v>
      </c>
      <c r="C10" s="18" t="s">
        <v>201</v>
      </c>
      <c r="D10" s="19" t="s">
        <v>151</v>
      </c>
      <c r="E10" s="19" t="s">
        <v>202</v>
      </c>
      <c r="F10" s="18" t="s">
        <v>153</v>
      </c>
      <c r="G10" s="19" t="s">
        <v>38</v>
      </c>
      <c r="H10" s="19" t="n">
        <v>2010</v>
      </c>
      <c r="I10" s="19" t="n">
        <v>2010</v>
      </c>
      <c r="J10" s="19" t="n">
        <v>0</v>
      </c>
      <c r="K10" s="19" t="s">
        <v>203</v>
      </c>
      <c r="L10" s="20" t="s">
        <v>204</v>
      </c>
      <c r="M10" s="19" t="s">
        <v>205</v>
      </c>
      <c r="N10" s="20" t="s">
        <v>181</v>
      </c>
      <c r="O10" s="21" t="n">
        <v>1</v>
      </c>
      <c r="P10" s="19" t="s">
        <v>181</v>
      </c>
      <c r="Q10" s="19" t="n">
        <v>0</v>
      </c>
      <c r="R10" s="22" t="n">
        <v>2010</v>
      </c>
      <c r="S10" s="23" t="str">
        <f aca="false" t="array" ref="S10:S10">IF(SUMPRODUCT((makaralar[MAKARA NO]=serim[[#This Row],[Makara Numarası]])*(makaralar[KALAN (mt)]&lt;0))&gt;0,
    "HATA VAR",
    "")</f>
        <v/>
      </c>
      <c r="T10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10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11" customFormat="false" ht="10.25" hidden="true" customHeight="false" outlineLevel="0" collapsed="false">
      <c r="A11" s="16" t="n">
        <v>45938</v>
      </c>
      <c r="B11" s="17" t="s">
        <v>149</v>
      </c>
      <c r="C11" s="18" t="s">
        <v>206</v>
      </c>
      <c r="D11" s="19" t="s">
        <v>207</v>
      </c>
      <c r="E11" s="19" t="s">
        <v>208</v>
      </c>
      <c r="F11" s="18" t="s">
        <v>162</v>
      </c>
      <c r="G11" s="19" t="s">
        <v>29</v>
      </c>
      <c r="H11" s="19" t="n">
        <v>2093</v>
      </c>
      <c r="I11" s="19" t="n">
        <v>2093</v>
      </c>
      <c r="J11" s="19" t="n">
        <v>1274</v>
      </c>
      <c r="K11" s="19" t="s">
        <v>209</v>
      </c>
      <c r="L11" s="20" t="s">
        <v>210</v>
      </c>
      <c r="M11" s="19" t="s">
        <v>200</v>
      </c>
      <c r="N11" s="20" t="s">
        <v>199</v>
      </c>
      <c r="O11" s="21" t="n">
        <v>1</v>
      </c>
      <c r="P11" s="20"/>
      <c r="Q11" s="19" t="n">
        <v>1274</v>
      </c>
      <c r="R11" s="22" t="n">
        <v>819</v>
      </c>
      <c r="S11" s="23" t="str">
        <f aca="false" t="array" ref="S11:S11">IF(SUMPRODUCT((makaralar[MAKARA NO]=serim[[#This Row],[Makara Numarası]])*(makaralar[KALAN (mt)]&lt;0))&gt;0,
    "HATA VAR",
    "")</f>
        <v/>
      </c>
      <c r="T11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11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12" customFormat="false" ht="10.25" hidden="true" customHeight="false" outlineLevel="0" collapsed="false">
      <c r="A12" s="16" t="n">
        <v>45939</v>
      </c>
      <c r="B12" s="17" t="s">
        <v>149</v>
      </c>
      <c r="C12" s="18" t="s">
        <v>201</v>
      </c>
      <c r="D12" s="19" t="s">
        <v>151</v>
      </c>
      <c r="E12" s="19" t="s">
        <v>211</v>
      </c>
      <c r="F12" s="18" t="s">
        <v>153</v>
      </c>
      <c r="G12" s="19" t="s">
        <v>37</v>
      </c>
      <c r="H12" s="19" t="n">
        <v>2010</v>
      </c>
      <c r="I12" s="19" t="n">
        <v>2019</v>
      </c>
      <c r="J12" s="19" t="n">
        <v>0</v>
      </c>
      <c r="K12" s="19" t="s">
        <v>163</v>
      </c>
      <c r="L12" s="20" t="s">
        <v>155</v>
      </c>
      <c r="M12" s="19" t="s">
        <v>212</v>
      </c>
      <c r="N12" s="20" t="s">
        <v>204</v>
      </c>
      <c r="O12" s="21" t="n">
        <v>1</v>
      </c>
      <c r="P12" s="19" t="s">
        <v>204</v>
      </c>
      <c r="Q12" s="19" t="n">
        <v>0</v>
      </c>
      <c r="R12" s="22" t="n">
        <v>2019</v>
      </c>
      <c r="S12" s="23" t="str">
        <f aca="false" t="array" ref="S12:S12">IF(SUMPRODUCT((makaralar[MAKARA NO]=serim[[#This Row],[Makara Numarası]])*(makaralar[KALAN (mt)]&lt;0))&gt;0,
    "HATA VAR",
    "")</f>
        <v/>
      </c>
      <c r="T12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12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13" customFormat="false" ht="10.25" hidden="true" customHeight="false" outlineLevel="0" collapsed="false">
      <c r="A13" s="16" t="n">
        <v>45938</v>
      </c>
      <c r="B13" s="17" t="s">
        <v>149</v>
      </c>
      <c r="C13" s="18" t="s">
        <v>213</v>
      </c>
      <c r="D13" s="19" t="s">
        <v>214</v>
      </c>
      <c r="E13" s="19" t="s">
        <v>215</v>
      </c>
      <c r="F13" s="18" t="s">
        <v>162</v>
      </c>
      <c r="G13" s="19" t="s">
        <v>29</v>
      </c>
      <c r="H13" s="19" t="n">
        <v>2745</v>
      </c>
      <c r="I13" s="19" t="n">
        <v>2745</v>
      </c>
      <c r="J13" s="19" t="n">
        <v>2093</v>
      </c>
      <c r="K13" s="19" t="s">
        <v>216</v>
      </c>
      <c r="L13" s="20" t="s">
        <v>217</v>
      </c>
      <c r="M13" s="19" t="s">
        <v>218</v>
      </c>
      <c r="N13" s="20" t="s">
        <v>210</v>
      </c>
      <c r="O13" s="21" t="n">
        <v>1</v>
      </c>
      <c r="P13" s="19"/>
      <c r="Q13" s="19" t="n">
        <v>2093</v>
      </c>
      <c r="R13" s="22" t="n">
        <v>648</v>
      </c>
      <c r="S13" s="23" t="str">
        <f aca="false" t="array" ref="S13:S13">IF(SUMPRODUCT((makaralar[MAKARA NO]=serim[[#This Row],[Makara Numarası]])*(makaralar[KALAN (mt)]&lt;0))&gt;0,
    "HATA VAR",
    "")</f>
        <v/>
      </c>
      <c r="T13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13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14" customFormat="false" ht="10.25" hidden="false" customHeight="false" outlineLevel="0" collapsed="false">
      <c r="A14" s="16" t="n">
        <v>45936</v>
      </c>
      <c r="B14" s="17" t="s">
        <v>149</v>
      </c>
      <c r="C14" s="18" t="s">
        <v>150</v>
      </c>
      <c r="D14" s="19" t="s">
        <v>151</v>
      </c>
      <c r="E14" s="19" t="s">
        <v>152</v>
      </c>
      <c r="F14" s="18" t="s">
        <v>162</v>
      </c>
      <c r="G14" s="19" t="s">
        <v>25</v>
      </c>
      <c r="H14" s="19" t="n">
        <v>4073</v>
      </c>
      <c r="I14" s="19" t="n">
        <v>4073</v>
      </c>
      <c r="J14" s="19" t="n">
        <v>0</v>
      </c>
      <c r="K14" s="19" t="s">
        <v>154</v>
      </c>
      <c r="L14" s="20" t="s">
        <v>155</v>
      </c>
      <c r="M14" s="19" t="s">
        <v>156</v>
      </c>
      <c r="N14" s="20" t="s">
        <v>157</v>
      </c>
      <c r="O14" s="21" t="n">
        <v>2</v>
      </c>
      <c r="P14" s="19" t="s">
        <v>219</v>
      </c>
      <c r="Q14" s="19" t="n">
        <v>0</v>
      </c>
      <c r="R14" s="22" t="n">
        <v>4073</v>
      </c>
      <c r="S14" s="23" t="str">
        <f aca="false" t="array" ref="S14:S14">IF(SUMPRODUCT((makaralar[MAKARA NO]=serim[[#This Row],[Makara Numarası]])*(makaralar[KALAN (mt)]&lt;0))&gt;0,
    "HATA VAR",
    "")</f>
        <v/>
      </c>
      <c r="T14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14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15" customFormat="false" ht="10.25" hidden="true" customHeight="false" outlineLevel="0" collapsed="false">
      <c r="A15" s="16" t="n">
        <v>45939</v>
      </c>
      <c r="B15" s="17" t="s">
        <v>149</v>
      </c>
      <c r="C15" s="18" t="s">
        <v>178</v>
      </c>
      <c r="D15" s="19" t="s">
        <v>220</v>
      </c>
      <c r="E15" s="19" t="s">
        <v>221</v>
      </c>
      <c r="F15" s="18" t="s">
        <v>153</v>
      </c>
      <c r="G15" s="19" t="s">
        <v>41</v>
      </c>
      <c r="H15" s="19" t="n">
        <v>2048</v>
      </c>
      <c r="I15" s="19" t="n">
        <v>2048</v>
      </c>
      <c r="J15" s="19" t="n">
        <v>0</v>
      </c>
      <c r="K15" s="19" t="s">
        <v>163</v>
      </c>
      <c r="L15" s="20" t="s">
        <v>169</v>
      </c>
      <c r="M15" s="19" t="s">
        <v>222</v>
      </c>
      <c r="N15" s="20" t="s">
        <v>223</v>
      </c>
      <c r="O15" s="21" t="n">
        <v>2</v>
      </c>
      <c r="P15" s="19" t="s">
        <v>223</v>
      </c>
      <c r="Q15" s="19" t="n">
        <v>0</v>
      </c>
      <c r="R15" s="22" t="n">
        <v>2048</v>
      </c>
      <c r="S15" s="23" t="str">
        <f aca="false" t="array" ref="S15:S15">IF(SUMPRODUCT((makaralar[MAKARA NO]=serim[[#This Row],[Makara Numarası]])*(makaralar[KALAN (mt)]&lt;0))&gt;0,
    "HATA VAR",
    "")</f>
        <v/>
      </c>
      <c r="T15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15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16" customFormat="false" ht="10.25" hidden="false" customHeight="false" outlineLevel="0" collapsed="false">
      <c r="A16" s="16" t="n">
        <v>45940</v>
      </c>
      <c r="B16" s="17" t="s">
        <v>149</v>
      </c>
      <c r="C16" s="18" t="s">
        <v>224</v>
      </c>
      <c r="D16" s="19" t="s">
        <v>163</v>
      </c>
      <c r="E16" s="19" t="s">
        <v>225</v>
      </c>
      <c r="F16" s="18" t="s">
        <v>162</v>
      </c>
      <c r="G16" s="19" t="s">
        <v>27</v>
      </c>
      <c r="H16" s="19" t="n">
        <v>4048</v>
      </c>
      <c r="I16" s="19" t="n">
        <v>4048</v>
      </c>
      <c r="J16" s="19" t="n">
        <v>2450</v>
      </c>
      <c r="K16" s="19" t="s">
        <v>163</v>
      </c>
      <c r="L16" s="20" t="s">
        <v>155</v>
      </c>
      <c r="M16" s="19" t="s">
        <v>226</v>
      </c>
      <c r="N16" s="20" t="s">
        <v>227</v>
      </c>
      <c r="O16" s="21" t="n">
        <v>2</v>
      </c>
      <c r="P16" s="19" t="s">
        <v>226</v>
      </c>
      <c r="Q16" s="19" t="n">
        <v>2450</v>
      </c>
      <c r="R16" s="22" t="n">
        <v>1639</v>
      </c>
      <c r="S16" s="23" t="str">
        <f aca="false" t="array" ref="S16:S16">IF(SUMPRODUCT((makaralar[MAKARA NO]=serim[[#This Row],[Makara Numarası]])*(makaralar[KALAN (mt)]&lt;0))&gt;0,
    "HATA VAR",
    "")</f>
        <v/>
      </c>
      <c r="T16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16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17" customFormat="false" ht="10.25" hidden="true" customHeight="false" outlineLevel="0" collapsed="false">
      <c r="A17" s="16" t="n">
        <v>45940</v>
      </c>
      <c r="B17" s="17" t="s">
        <v>149</v>
      </c>
      <c r="C17" s="18" t="s">
        <v>228</v>
      </c>
      <c r="D17" s="19" t="s">
        <v>163</v>
      </c>
      <c r="E17" s="19" t="s">
        <v>229</v>
      </c>
      <c r="F17" s="18" t="s">
        <v>153</v>
      </c>
      <c r="G17" s="19" t="s">
        <v>43</v>
      </c>
      <c r="H17" s="19" t="n">
        <v>2013</v>
      </c>
      <c r="I17" s="19" t="n">
        <v>2013</v>
      </c>
      <c r="J17" s="19" t="n">
        <v>380</v>
      </c>
      <c r="K17" s="19" t="s">
        <v>163</v>
      </c>
      <c r="L17" s="20" t="s">
        <v>155</v>
      </c>
      <c r="M17" s="20" t="s">
        <v>226</v>
      </c>
      <c r="N17" s="20" t="s">
        <v>227</v>
      </c>
      <c r="O17" s="21" t="n">
        <v>2</v>
      </c>
      <c r="P17" s="20" t="s">
        <v>226</v>
      </c>
      <c r="Q17" s="19" t="n">
        <v>380</v>
      </c>
      <c r="R17" s="22" t="n">
        <v>1633</v>
      </c>
      <c r="S17" s="23" t="str">
        <f aca="false" t="array" ref="S17:S17">IF(SUMPRODUCT((makaralar[MAKARA NO]=serim[[#This Row],[Makara Numarası]])*(makaralar[KALAN (mt)]&lt;0))&gt;0,
    "HATA VAR",
    "")</f>
        <v/>
      </c>
      <c r="T17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17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18" customFormat="false" ht="10.25" hidden="true" customHeight="false" outlineLevel="0" collapsed="false">
      <c r="A18" s="16" t="n">
        <v>45941</v>
      </c>
      <c r="B18" s="17" t="s">
        <v>149</v>
      </c>
      <c r="C18" s="18" t="s">
        <v>228</v>
      </c>
      <c r="D18" s="19" t="s">
        <v>163</v>
      </c>
      <c r="E18" s="19" t="s">
        <v>229</v>
      </c>
      <c r="F18" s="18" t="s">
        <v>153</v>
      </c>
      <c r="G18" s="19" t="s">
        <v>45</v>
      </c>
      <c r="H18" s="19" t="n">
        <v>2035</v>
      </c>
      <c r="I18" s="19" t="n">
        <v>2035</v>
      </c>
      <c r="J18" s="19" t="n">
        <v>425</v>
      </c>
      <c r="K18" s="19" t="s">
        <v>163</v>
      </c>
      <c r="L18" s="20" t="s">
        <v>155</v>
      </c>
      <c r="M18" s="19" t="s">
        <v>226</v>
      </c>
      <c r="N18" s="20" t="s">
        <v>227</v>
      </c>
      <c r="O18" s="21" t="n">
        <v>1</v>
      </c>
      <c r="P18" s="20" t="s">
        <v>226</v>
      </c>
      <c r="Q18" s="19" t="n">
        <v>425</v>
      </c>
      <c r="R18" s="22" t="n">
        <v>1610</v>
      </c>
      <c r="S18" s="23" t="str">
        <f aca="false" t="array" ref="S18:S18">IF(SUMPRODUCT((makaralar[MAKARA NO]=serim[[#This Row],[Makara Numarası]])*(makaralar[KALAN (mt)]&lt;0))&gt;0,
    "HATA VAR",
    "")</f>
        <v/>
      </c>
      <c r="T18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18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19" customFormat="false" ht="10.25" hidden="true" customHeight="false" outlineLevel="0" collapsed="false">
      <c r="A19" s="16" t="n">
        <v>45938</v>
      </c>
      <c r="B19" s="17" t="s">
        <v>149</v>
      </c>
      <c r="C19" s="18" t="s">
        <v>230</v>
      </c>
      <c r="D19" s="19" t="s">
        <v>151</v>
      </c>
      <c r="E19" s="19" t="s">
        <v>214</v>
      </c>
      <c r="F19" s="18" t="s">
        <v>162</v>
      </c>
      <c r="G19" s="19" t="s">
        <v>29</v>
      </c>
      <c r="H19" s="19" t="n">
        <v>4048</v>
      </c>
      <c r="I19" s="19" t="n">
        <v>4051</v>
      </c>
      <c r="J19" s="19" t="n">
        <v>2745</v>
      </c>
      <c r="K19" s="19" t="s">
        <v>163</v>
      </c>
      <c r="L19" s="20" t="s">
        <v>155</v>
      </c>
      <c r="M19" s="19" t="s">
        <v>231</v>
      </c>
      <c r="N19" s="19" t="s">
        <v>217</v>
      </c>
      <c r="O19" s="21" t="n">
        <v>1</v>
      </c>
      <c r="P19" s="20"/>
      <c r="Q19" s="19" t="n">
        <v>2745</v>
      </c>
      <c r="R19" s="22" t="n">
        <v>1306</v>
      </c>
      <c r="S19" s="23" t="str">
        <f aca="false" t="array" ref="S19:S19">IF(SUMPRODUCT((makaralar[MAKARA NO]=serim[[#This Row],[Makara Numarası]])*(makaralar[KALAN (mt)]&lt;0))&gt;0,
    "HATA VAR",
    "")</f>
        <v/>
      </c>
      <c r="T19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19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20" customFormat="false" ht="10.25" hidden="true" customHeight="false" outlineLevel="0" collapsed="false">
      <c r="A20" s="16" t="n">
        <v>45943</v>
      </c>
      <c r="B20" s="17" t="s">
        <v>149</v>
      </c>
      <c r="C20" s="18" t="s">
        <v>232</v>
      </c>
      <c r="D20" s="19" t="s">
        <v>233</v>
      </c>
      <c r="E20" s="19" t="s">
        <v>234</v>
      </c>
      <c r="F20" s="18" t="s">
        <v>162</v>
      </c>
      <c r="G20" s="19" t="s">
        <v>27</v>
      </c>
      <c r="H20" s="19" t="n">
        <v>1487</v>
      </c>
      <c r="I20" s="19" t="n">
        <v>1487</v>
      </c>
      <c r="J20" s="19" t="n">
        <v>793</v>
      </c>
      <c r="K20" s="19" t="s">
        <v>235</v>
      </c>
      <c r="L20" s="19" t="s">
        <v>236</v>
      </c>
      <c r="M20" s="19" t="s">
        <v>154</v>
      </c>
      <c r="N20" s="20" t="s">
        <v>155</v>
      </c>
      <c r="O20" s="21" t="n">
        <v>1</v>
      </c>
      <c r="P20" s="19"/>
      <c r="Q20" s="19" t="n">
        <v>793</v>
      </c>
      <c r="R20" s="22" t="n">
        <v>694</v>
      </c>
      <c r="S20" s="23" t="str">
        <f aca="false" t="array" ref="S20:S20">IF(SUMPRODUCT((makaralar[MAKARA NO]=serim[[#This Row],[Makara Numarası]])*(makaralar[KALAN (mt)]&lt;0))&gt;0,
    "HATA VAR",
    "")</f>
        <v/>
      </c>
      <c r="T20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20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21" customFormat="false" ht="10.25" hidden="true" customHeight="false" outlineLevel="0" collapsed="false">
      <c r="A21" s="16" t="n">
        <v>45943</v>
      </c>
      <c r="B21" s="17" t="s">
        <v>149</v>
      </c>
      <c r="C21" s="18" t="s">
        <v>237</v>
      </c>
      <c r="D21" s="19" t="s">
        <v>238</v>
      </c>
      <c r="E21" s="19" t="s">
        <v>233</v>
      </c>
      <c r="F21" s="18" t="s">
        <v>162</v>
      </c>
      <c r="G21" s="19" t="s">
        <v>27</v>
      </c>
      <c r="H21" s="19" t="n">
        <v>2130</v>
      </c>
      <c r="I21" s="19" t="n">
        <v>2130</v>
      </c>
      <c r="J21" s="19" t="n">
        <v>1487</v>
      </c>
      <c r="K21" s="19" t="s">
        <v>239</v>
      </c>
      <c r="L21" s="19" t="s">
        <v>240</v>
      </c>
      <c r="M21" s="19" t="s">
        <v>235</v>
      </c>
      <c r="N21" s="20" t="s">
        <v>236</v>
      </c>
      <c r="O21" s="21" t="n">
        <v>1</v>
      </c>
      <c r="P21" s="19"/>
      <c r="Q21" s="19" t="n">
        <v>1487</v>
      </c>
      <c r="R21" s="22" t="n">
        <v>643</v>
      </c>
      <c r="S21" s="23" t="str">
        <f aca="false" t="array" ref="S21:S21">IF(SUMPRODUCT((makaralar[MAKARA NO]=serim[[#This Row],[Makara Numarası]])*(makaralar[KALAN (mt)]&lt;0))&gt;0,
    "HATA VAR",
    "")</f>
        <v/>
      </c>
      <c r="T21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21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22" customFormat="false" ht="10.25" hidden="true" customHeight="false" outlineLevel="0" collapsed="false">
      <c r="A22" s="16" t="n">
        <v>45961</v>
      </c>
      <c r="B22" s="17" t="s">
        <v>241</v>
      </c>
      <c r="C22" s="25" t="s">
        <v>242</v>
      </c>
      <c r="D22" s="25" t="s">
        <v>243</v>
      </c>
      <c r="E22" s="25" t="s">
        <v>225</v>
      </c>
      <c r="F22" s="18" t="s">
        <v>162</v>
      </c>
      <c r="G22" s="25" t="s">
        <v>65</v>
      </c>
      <c r="H22" s="25" t="n">
        <v>170</v>
      </c>
      <c r="I22" s="25" t="n">
        <v>170</v>
      </c>
      <c r="J22" s="25" t="n">
        <v>0</v>
      </c>
      <c r="K22" s="25" t="s">
        <v>243</v>
      </c>
      <c r="L22" s="25" t="s">
        <v>244</v>
      </c>
      <c r="M22" s="25" t="s">
        <v>225</v>
      </c>
      <c r="N22" s="25" t="s">
        <v>245</v>
      </c>
      <c r="O22" s="26" t="n">
        <v>1</v>
      </c>
      <c r="P22" s="19"/>
      <c r="Q22" s="25" t="n">
        <v>0</v>
      </c>
      <c r="R22" s="27" t="n">
        <v>170</v>
      </c>
      <c r="S22" s="23" t="str">
        <f aca="false" t="array" ref="S22:S22">IF(SUMPRODUCT((makaralar[MAKARA NO]=serim[[#This Row],[Makara Numarası]])*(makaralar[KALAN (mt)]&lt;0))&gt;0,
    "HATA VAR",
    "")</f>
        <v/>
      </c>
      <c r="T22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22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>HATA VAR</v>
      </c>
    </row>
    <row r="23" customFormat="false" ht="10.25" hidden="true" customHeight="false" outlineLevel="0" collapsed="false">
      <c r="A23" s="16" t="n">
        <v>45944</v>
      </c>
      <c r="B23" s="17" t="s">
        <v>149</v>
      </c>
      <c r="C23" s="25" t="s">
        <v>228</v>
      </c>
      <c r="D23" s="25" t="s">
        <v>151</v>
      </c>
      <c r="E23" s="25" t="s">
        <v>229</v>
      </c>
      <c r="F23" s="25" t="s">
        <v>246</v>
      </c>
      <c r="G23" s="25" t="s">
        <v>53</v>
      </c>
      <c r="H23" s="25" t="n">
        <v>2015</v>
      </c>
      <c r="I23" s="25" t="n">
        <v>2015</v>
      </c>
      <c r="J23" s="25" t="n">
        <v>0</v>
      </c>
      <c r="K23" s="25" t="s">
        <v>247</v>
      </c>
      <c r="L23" s="25" t="s">
        <v>248</v>
      </c>
      <c r="M23" s="25" t="s">
        <v>229</v>
      </c>
      <c r="N23" s="25" t="s">
        <v>249</v>
      </c>
      <c r="O23" s="26" t="n">
        <v>2</v>
      </c>
      <c r="P23" s="19" t="s">
        <v>249</v>
      </c>
      <c r="Q23" s="25" t="n">
        <v>0</v>
      </c>
      <c r="R23" s="27" t="n">
        <v>2015</v>
      </c>
      <c r="S23" s="23" t="str">
        <f aca="false" t="array" ref="S23:S23">IF(SUMPRODUCT((makaralar[MAKARA NO]=serim[[#This Row],[Makara Numarası]])*(makaralar[KALAN (mt)]&lt;0))&gt;0,
    "HATA VAR",
    "")</f>
        <v/>
      </c>
      <c r="T23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23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24" customFormat="false" ht="10.25" hidden="true" customHeight="false" outlineLevel="0" collapsed="false">
      <c r="A24" s="16" t="n">
        <v>45944</v>
      </c>
      <c r="B24" s="17" t="s">
        <v>149</v>
      </c>
      <c r="C24" s="25" t="s">
        <v>228</v>
      </c>
      <c r="D24" s="25" t="s">
        <v>151</v>
      </c>
      <c r="E24" s="25" t="s">
        <v>229</v>
      </c>
      <c r="F24" s="25" t="s">
        <v>246</v>
      </c>
      <c r="G24" s="25" t="s">
        <v>52</v>
      </c>
      <c r="H24" s="25" t="n">
        <v>2015</v>
      </c>
      <c r="I24" s="25" t="n">
        <v>2015</v>
      </c>
      <c r="J24" s="25" t="n">
        <v>0</v>
      </c>
      <c r="K24" s="25" t="s">
        <v>247</v>
      </c>
      <c r="L24" s="25" t="s">
        <v>248</v>
      </c>
      <c r="M24" s="25" t="s">
        <v>229</v>
      </c>
      <c r="N24" s="25" t="s">
        <v>250</v>
      </c>
      <c r="O24" s="26" t="n">
        <v>1</v>
      </c>
      <c r="P24" s="19" t="s">
        <v>250</v>
      </c>
      <c r="Q24" s="25" t="n">
        <v>0</v>
      </c>
      <c r="R24" s="27" t="n">
        <v>2015</v>
      </c>
      <c r="S24" s="23" t="str">
        <f aca="false" t="array" ref="S24:S24">IF(SUMPRODUCT((makaralar[MAKARA NO]=serim[[#This Row],[Makara Numarası]])*(makaralar[KALAN (mt)]&lt;0))&gt;0,
    "HATA VAR",
    "")</f>
        <v/>
      </c>
      <c r="T24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24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25" customFormat="false" ht="10.25" hidden="true" customHeight="false" outlineLevel="0" collapsed="false">
      <c r="A25" s="16" t="n">
        <v>45941</v>
      </c>
      <c r="B25" s="17" t="s">
        <v>149</v>
      </c>
      <c r="C25" s="18" t="s">
        <v>251</v>
      </c>
      <c r="D25" s="19" t="s">
        <v>252</v>
      </c>
      <c r="E25" s="19" t="s">
        <v>253</v>
      </c>
      <c r="F25" s="18" t="s">
        <v>162</v>
      </c>
      <c r="G25" s="19" t="s">
        <v>27</v>
      </c>
      <c r="H25" s="19" t="n">
        <v>2450</v>
      </c>
      <c r="I25" s="19" t="n">
        <v>2450</v>
      </c>
      <c r="J25" s="19" t="n">
        <v>2130</v>
      </c>
      <c r="K25" s="19" t="s">
        <v>252</v>
      </c>
      <c r="L25" s="20" t="s">
        <v>254</v>
      </c>
      <c r="M25" s="20" t="s">
        <v>253</v>
      </c>
      <c r="N25" s="20" t="s">
        <v>240</v>
      </c>
      <c r="O25" s="21" t="n">
        <v>1</v>
      </c>
      <c r="P25" s="19"/>
      <c r="Q25" s="19" t="n">
        <v>2130</v>
      </c>
      <c r="R25" s="22" t="n">
        <v>320</v>
      </c>
      <c r="S25" s="23" t="str">
        <f aca="false" t="array" ref="S25:S25">IF(SUMPRODUCT((makaralar[MAKARA NO]=serim[[#This Row],[Makara Numarası]])*(makaralar[KALAN (mt)]&lt;0))&gt;0,
    "HATA VAR",
    "")</f>
        <v/>
      </c>
      <c r="T25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25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26" customFormat="false" ht="10.25" hidden="true" customHeight="false" outlineLevel="0" collapsed="false">
      <c r="A26" s="16" t="n">
        <v>45945</v>
      </c>
      <c r="B26" s="17" t="s">
        <v>149</v>
      </c>
      <c r="C26" s="25" t="s">
        <v>255</v>
      </c>
      <c r="D26" s="25" t="s">
        <v>256</v>
      </c>
      <c r="E26" s="25" t="s">
        <v>257</v>
      </c>
      <c r="F26" s="18" t="s">
        <v>258</v>
      </c>
      <c r="G26" s="25" t="s">
        <v>21</v>
      </c>
      <c r="H26" s="25" t="n">
        <v>4102</v>
      </c>
      <c r="I26" s="25" t="n">
        <v>4102</v>
      </c>
      <c r="J26" s="25" t="n">
        <v>2905</v>
      </c>
      <c r="K26" s="25" t="s">
        <v>225</v>
      </c>
      <c r="L26" s="25" t="s">
        <v>245</v>
      </c>
      <c r="M26" s="25" t="s">
        <v>259</v>
      </c>
      <c r="N26" s="25" t="s">
        <v>260</v>
      </c>
      <c r="O26" s="26" t="n">
        <v>1</v>
      </c>
      <c r="P26" s="19"/>
      <c r="Q26" s="25" t="n">
        <v>2905</v>
      </c>
      <c r="R26" s="27" t="n">
        <v>1197</v>
      </c>
      <c r="S26" s="23" t="str">
        <f aca="false" t="array" ref="S26:S26">IF(SUMPRODUCT((makaralar[MAKARA NO]=serim[[#This Row],[Makara Numarası]])*(makaralar[KALAN (mt)]&lt;0))&gt;0,
    "HATA VAR",
    "")</f>
        <v/>
      </c>
      <c r="T26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26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27" customFormat="false" ht="10.25" hidden="true" customHeight="false" outlineLevel="0" collapsed="false">
      <c r="A27" s="16" t="n">
        <v>45945</v>
      </c>
      <c r="B27" s="17" t="s">
        <v>149</v>
      </c>
      <c r="C27" s="25" t="s">
        <v>228</v>
      </c>
      <c r="D27" s="25" t="s">
        <v>151</v>
      </c>
      <c r="E27" s="25" t="s">
        <v>261</v>
      </c>
      <c r="F27" s="25" t="s">
        <v>246</v>
      </c>
      <c r="G27" s="25" t="s">
        <v>55</v>
      </c>
      <c r="H27" s="25" t="n">
        <v>2049</v>
      </c>
      <c r="I27" s="25" t="n">
        <v>2049</v>
      </c>
      <c r="J27" s="25" t="n">
        <v>0</v>
      </c>
      <c r="K27" s="25" t="s">
        <v>247</v>
      </c>
      <c r="L27" s="25" t="s">
        <v>250</v>
      </c>
      <c r="M27" s="25" t="s">
        <v>262</v>
      </c>
      <c r="N27" s="25" t="s">
        <v>263</v>
      </c>
      <c r="O27" s="26" t="n">
        <v>1</v>
      </c>
      <c r="P27" s="19" t="s">
        <v>262</v>
      </c>
      <c r="Q27" s="25" t="n">
        <v>0</v>
      </c>
      <c r="R27" s="27" t="n">
        <v>2049</v>
      </c>
      <c r="S27" s="23" t="str">
        <f aca="false" t="array" ref="S27:S27">IF(SUMPRODUCT((makaralar[MAKARA NO]=serim[[#This Row],[Makara Numarası]])*(makaralar[KALAN (mt)]&lt;0))&gt;0,
    "HATA VAR",
    "")</f>
        <v/>
      </c>
      <c r="T27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27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28" customFormat="false" ht="10.25" hidden="true" customHeight="false" outlineLevel="0" collapsed="false">
      <c r="A28" s="16" t="n">
        <v>45945</v>
      </c>
      <c r="B28" s="17" t="s">
        <v>149</v>
      </c>
      <c r="C28" s="25" t="s">
        <v>264</v>
      </c>
      <c r="D28" s="25" t="s">
        <v>257</v>
      </c>
      <c r="E28" s="25" t="s">
        <v>265</v>
      </c>
      <c r="F28" s="18" t="s">
        <v>258</v>
      </c>
      <c r="G28" s="25" t="s">
        <v>21</v>
      </c>
      <c r="H28" s="25" t="n">
        <v>2905</v>
      </c>
      <c r="I28" s="25" t="n">
        <v>2905</v>
      </c>
      <c r="J28" s="25" t="n">
        <v>1995</v>
      </c>
      <c r="K28" s="25" t="s">
        <v>259</v>
      </c>
      <c r="L28" s="25" t="s">
        <v>260</v>
      </c>
      <c r="M28" s="25" t="s">
        <v>266</v>
      </c>
      <c r="N28" s="25" t="s">
        <v>267</v>
      </c>
      <c r="O28" s="26" t="n">
        <v>1</v>
      </c>
      <c r="P28" s="19"/>
      <c r="Q28" s="25" t="n">
        <v>1995</v>
      </c>
      <c r="R28" s="27" t="n">
        <v>910</v>
      </c>
      <c r="S28" s="23" t="str">
        <f aca="false" t="array" ref="S28:S28">IF(SUMPRODUCT((makaralar[MAKARA NO]=serim[[#This Row],[Makara Numarası]])*(makaralar[KALAN (mt)]&lt;0))&gt;0,
    "HATA VAR",
    "")</f>
        <v/>
      </c>
      <c r="T28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28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29" customFormat="false" ht="10.25" hidden="true" customHeight="false" outlineLevel="0" collapsed="false">
      <c r="A29" s="16" t="n">
        <v>45945</v>
      </c>
      <c r="B29" s="17" t="s">
        <v>149</v>
      </c>
      <c r="C29" s="25" t="s">
        <v>268</v>
      </c>
      <c r="D29" s="25" t="s">
        <v>265</v>
      </c>
      <c r="E29" s="25" t="s">
        <v>269</v>
      </c>
      <c r="F29" s="18" t="s">
        <v>258</v>
      </c>
      <c r="G29" s="25" t="s">
        <v>21</v>
      </c>
      <c r="H29" s="25" t="n">
        <v>1995</v>
      </c>
      <c r="I29" s="25" t="n">
        <v>1995</v>
      </c>
      <c r="J29" s="25" t="n">
        <v>1410</v>
      </c>
      <c r="K29" s="25" t="s">
        <v>247</v>
      </c>
      <c r="L29" s="25" t="s">
        <v>267</v>
      </c>
      <c r="M29" s="25" t="s">
        <v>270</v>
      </c>
      <c r="N29" s="25" t="s">
        <v>271</v>
      </c>
      <c r="O29" s="26" t="n">
        <v>1</v>
      </c>
      <c r="P29" s="19"/>
      <c r="Q29" s="25" t="n">
        <v>1410</v>
      </c>
      <c r="R29" s="27" t="n">
        <v>585</v>
      </c>
      <c r="S29" s="23" t="str">
        <f aca="false" t="array" ref="S29:S29">IF(SUMPRODUCT((makaralar[MAKARA NO]=serim[[#This Row],[Makara Numarası]])*(makaralar[KALAN (mt)]&lt;0))&gt;0,
    "HATA VAR",
    "")</f>
        <v/>
      </c>
      <c r="T29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29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30" customFormat="false" ht="10.25" hidden="false" customHeight="false" outlineLevel="0" collapsed="false">
      <c r="A30" s="16" t="n">
        <v>45945</v>
      </c>
      <c r="B30" s="17" t="s">
        <v>272</v>
      </c>
      <c r="C30" s="25" t="s">
        <v>228</v>
      </c>
      <c r="D30" s="25" t="s">
        <v>151</v>
      </c>
      <c r="E30" s="25" t="s">
        <v>261</v>
      </c>
      <c r="F30" s="18" t="s">
        <v>258</v>
      </c>
      <c r="G30" s="25" t="s">
        <v>20</v>
      </c>
      <c r="H30" s="25" t="n">
        <v>4055</v>
      </c>
      <c r="I30" s="25" t="n">
        <v>4055</v>
      </c>
      <c r="J30" s="25" t="n">
        <v>0</v>
      </c>
      <c r="K30" s="25" t="s">
        <v>154</v>
      </c>
      <c r="L30" s="25" t="s">
        <v>248</v>
      </c>
      <c r="M30" s="25" t="s">
        <v>273</v>
      </c>
      <c r="N30" s="25" t="s">
        <v>274</v>
      </c>
      <c r="O30" s="26" t="n">
        <v>2</v>
      </c>
      <c r="P30" s="19" t="s">
        <v>273</v>
      </c>
      <c r="Q30" s="25" t="n">
        <v>0</v>
      </c>
      <c r="R30" s="27" t="n">
        <v>4055</v>
      </c>
      <c r="S30" s="23" t="str">
        <f aca="false" t="array" ref="S30:S30">IF(SUMPRODUCT((makaralar[MAKARA NO]=serim[[#This Row],[Makara Numarası]])*(makaralar[KALAN (mt)]&lt;0))&gt;0,
    "HATA VAR",
    "")</f>
        <v/>
      </c>
      <c r="T30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30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31" customFormat="false" ht="10.25" hidden="true" customHeight="false" outlineLevel="0" collapsed="false">
      <c r="A31" s="16" t="n">
        <v>45945</v>
      </c>
      <c r="B31" s="17" t="s">
        <v>272</v>
      </c>
      <c r="C31" s="25" t="s">
        <v>228</v>
      </c>
      <c r="D31" s="25" t="s">
        <v>151</v>
      </c>
      <c r="E31" s="25" t="s">
        <v>261</v>
      </c>
      <c r="F31" s="25" t="s">
        <v>246</v>
      </c>
      <c r="G31" s="25" t="s">
        <v>54</v>
      </c>
      <c r="H31" s="25" t="n">
        <v>2009</v>
      </c>
      <c r="I31" s="25" t="n">
        <v>2009</v>
      </c>
      <c r="J31" s="25" t="n">
        <v>0</v>
      </c>
      <c r="K31" s="25" t="s">
        <v>247</v>
      </c>
      <c r="L31" s="25" t="s">
        <v>249</v>
      </c>
      <c r="M31" s="25" t="s">
        <v>275</v>
      </c>
      <c r="N31" s="25" t="s">
        <v>276</v>
      </c>
      <c r="O31" s="26" t="n">
        <v>2</v>
      </c>
      <c r="P31" s="19" t="s">
        <v>275</v>
      </c>
      <c r="Q31" s="25" t="n">
        <v>0</v>
      </c>
      <c r="R31" s="27" t="n">
        <v>2009</v>
      </c>
      <c r="S31" s="23" t="str">
        <f aca="false" t="array" ref="S31:S31">IF(SUMPRODUCT((makaralar[MAKARA NO]=serim[[#This Row],[Makara Numarası]])*(makaralar[KALAN (mt)]&lt;0))&gt;0,
    "HATA VAR",
    "")</f>
        <v/>
      </c>
      <c r="T31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31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32" customFormat="false" ht="10.25" hidden="true" customHeight="false" outlineLevel="0" collapsed="false">
      <c r="A32" s="16" t="n">
        <v>45946</v>
      </c>
      <c r="B32" s="17" t="s">
        <v>272</v>
      </c>
      <c r="C32" s="25" t="s">
        <v>228</v>
      </c>
      <c r="D32" s="25" t="s">
        <v>151</v>
      </c>
      <c r="E32" s="25" t="s">
        <v>261</v>
      </c>
      <c r="F32" s="25" t="s">
        <v>246</v>
      </c>
      <c r="G32" s="25" t="s">
        <v>57</v>
      </c>
      <c r="H32" s="25" t="n">
        <v>2042</v>
      </c>
      <c r="I32" s="25" t="n">
        <v>2042</v>
      </c>
      <c r="J32" s="25" t="n">
        <v>0</v>
      </c>
      <c r="K32" s="25" t="s">
        <v>247</v>
      </c>
      <c r="L32" s="25" t="s">
        <v>263</v>
      </c>
      <c r="M32" s="25" t="s">
        <v>277</v>
      </c>
      <c r="N32" s="25" t="s">
        <v>278</v>
      </c>
      <c r="O32" s="26" t="n">
        <v>1</v>
      </c>
      <c r="P32" s="19" t="s">
        <v>277</v>
      </c>
      <c r="Q32" s="25" t="n">
        <v>0</v>
      </c>
      <c r="R32" s="27" t="n">
        <v>2042</v>
      </c>
      <c r="S32" s="23" t="str">
        <f aca="false" t="array" ref="S32:S32">IF(SUMPRODUCT((makaralar[MAKARA NO]=serim[[#This Row],[Makara Numarası]])*(makaralar[KALAN (mt)]&lt;0))&gt;0,
    "HATA VAR",
    "")</f>
        <v/>
      </c>
      <c r="T32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32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33" customFormat="false" ht="10.25" hidden="true" customHeight="false" outlineLevel="0" collapsed="false">
      <c r="A33" s="16" t="n">
        <v>45950</v>
      </c>
      <c r="B33" s="17" t="s">
        <v>272</v>
      </c>
      <c r="C33" s="25" t="s">
        <v>279</v>
      </c>
      <c r="D33" s="19" t="s">
        <v>151</v>
      </c>
      <c r="E33" s="25" t="s">
        <v>261</v>
      </c>
      <c r="F33" s="25" t="s">
        <v>246</v>
      </c>
      <c r="G33" s="25" t="s">
        <v>59</v>
      </c>
      <c r="H33" s="25" t="n">
        <v>2063</v>
      </c>
      <c r="I33" s="25" t="n">
        <v>2063</v>
      </c>
      <c r="J33" s="25" t="n">
        <v>0</v>
      </c>
      <c r="K33" s="25" t="s">
        <v>163</v>
      </c>
      <c r="L33" s="25" t="s">
        <v>276</v>
      </c>
      <c r="M33" s="25" t="s">
        <v>280</v>
      </c>
      <c r="N33" s="25" t="s">
        <v>281</v>
      </c>
      <c r="O33" s="26" t="n">
        <v>2</v>
      </c>
      <c r="P33" s="19" t="s">
        <v>280</v>
      </c>
      <c r="Q33" s="25" t="n">
        <v>0</v>
      </c>
      <c r="R33" s="27" t="n">
        <v>2063</v>
      </c>
      <c r="S33" s="23" t="str">
        <f aca="false" t="array" ref="S33:S33">IF(SUMPRODUCT((makaralar[MAKARA NO]=serim[[#This Row],[Makara Numarası]])*(makaralar[KALAN (mt)]&lt;0))&gt;0,
    "HATA VAR",
    "")</f>
        <v/>
      </c>
      <c r="T33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33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34" customFormat="false" ht="17.25" hidden="true" customHeight="false" outlineLevel="0" collapsed="false">
      <c r="A34" s="16" t="n">
        <v>45945</v>
      </c>
      <c r="B34" s="17" t="s">
        <v>149</v>
      </c>
      <c r="C34" s="25" t="s">
        <v>282</v>
      </c>
      <c r="D34" s="25" t="s">
        <v>269</v>
      </c>
      <c r="E34" s="25" t="s">
        <v>283</v>
      </c>
      <c r="F34" s="18" t="s">
        <v>258</v>
      </c>
      <c r="G34" s="25" t="s">
        <v>65</v>
      </c>
      <c r="H34" s="25" t="n">
        <v>4042</v>
      </c>
      <c r="I34" s="25" t="n">
        <v>4042</v>
      </c>
      <c r="J34" s="25" t="n">
        <v>2480</v>
      </c>
      <c r="K34" s="25" t="s">
        <v>270</v>
      </c>
      <c r="L34" s="25" t="s">
        <v>271</v>
      </c>
      <c r="M34" s="25" t="s">
        <v>284</v>
      </c>
      <c r="N34" s="25" t="s">
        <v>285</v>
      </c>
      <c r="O34" s="26" t="n">
        <v>1</v>
      </c>
      <c r="P34" s="19"/>
      <c r="Q34" s="25" t="n">
        <v>2480</v>
      </c>
      <c r="R34" s="27" t="n">
        <v>1562</v>
      </c>
      <c r="S34" s="23" t="str">
        <f aca="false" t="array" ref="S34:S34">IF(SUMPRODUCT((makaralar[MAKARA NO]=serim[[#This Row],[Makara Numarası]])*(makaralar[KALAN (mt)]&lt;0))&gt;0,
    "HATA VAR",
    "")</f>
        <v/>
      </c>
      <c r="T34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34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35" customFormat="false" ht="10.25" hidden="true" customHeight="false" outlineLevel="0" collapsed="false">
      <c r="A35" s="16" t="n">
        <v>45950</v>
      </c>
      <c r="B35" s="17" t="s">
        <v>272</v>
      </c>
      <c r="C35" s="25" t="s">
        <v>286</v>
      </c>
      <c r="D35" s="25" t="s">
        <v>287</v>
      </c>
      <c r="E35" s="25" t="s">
        <v>288</v>
      </c>
      <c r="F35" s="18" t="s">
        <v>258</v>
      </c>
      <c r="G35" s="25" t="s">
        <v>65</v>
      </c>
      <c r="H35" s="25" t="n">
        <v>2480</v>
      </c>
      <c r="I35" s="25" t="n">
        <v>2480</v>
      </c>
      <c r="J35" s="25" t="n">
        <v>1935</v>
      </c>
      <c r="K35" s="25" t="s">
        <v>289</v>
      </c>
      <c r="L35" s="25" t="s">
        <v>290</v>
      </c>
      <c r="M35" s="25" t="s">
        <v>291</v>
      </c>
      <c r="N35" s="25" t="s">
        <v>292</v>
      </c>
      <c r="O35" s="26" t="n">
        <v>1</v>
      </c>
      <c r="P35" s="19"/>
      <c r="Q35" s="25" t="n">
        <v>1935</v>
      </c>
      <c r="R35" s="27" t="n">
        <v>545</v>
      </c>
      <c r="S35" s="23" t="str">
        <f aca="false" t="array" ref="S35:S35">IF(SUMPRODUCT((makaralar[MAKARA NO]=serim[[#This Row],[Makara Numarası]])*(makaralar[KALAN (mt)]&lt;0))&gt;0,
    "HATA VAR",
    "")</f>
        <v/>
      </c>
      <c r="T35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35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36" customFormat="false" ht="10.25" hidden="true" customHeight="false" outlineLevel="0" collapsed="false">
      <c r="A36" s="16" t="n">
        <v>45950</v>
      </c>
      <c r="B36" s="17" t="s">
        <v>272</v>
      </c>
      <c r="C36" s="25" t="s">
        <v>293</v>
      </c>
      <c r="D36" s="25" t="s">
        <v>288</v>
      </c>
      <c r="E36" s="25" t="s">
        <v>294</v>
      </c>
      <c r="F36" s="18" t="s">
        <v>258</v>
      </c>
      <c r="G36" s="25" t="s">
        <v>65</v>
      </c>
      <c r="H36" s="25" t="n">
        <v>1935</v>
      </c>
      <c r="I36" s="25" t="n">
        <v>1935</v>
      </c>
      <c r="J36" s="25" t="n">
        <v>1200</v>
      </c>
      <c r="K36" s="25" t="s">
        <v>291</v>
      </c>
      <c r="L36" s="25" t="s">
        <v>292</v>
      </c>
      <c r="M36" s="25" t="s">
        <v>295</v>
      </c>
      <c r="N36" s="25" t="s">
        <v>296</v>
      </c>
      <c r="O36" s="26" t="n">
        <v>1</v>
      </c>
      <c r="P36" s="19"/>
      <c r="Q36" s="25" t="n">
        <v>1200</v>
      </c>
      <c r="R36" s="27" t="n">
        <v>735</v>
      </c>
      <c r="S36" s="23" t="str">
        <f aca="false" t="array" ref="S36:S36">IF(SUMPRODUCT((makaralar[MAKARA NO]=serim[[#This Row],[Makara Numarası]])*(makaralar[KALAN (mt)]&lt;0))&gt;0,
    "HATA VAR",
    "")</f>
        <v/>
      </c>
      <c r="T36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36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37" customFormat="false" ht="10.25" hidden="false" customHeight="false" outlineLevel="0" collapsed="false">
      <c r="A37" s="16" t="n">
        <v>45950</v>
      </c>
      <c r="B37" s="17" t="s">
        <v>272</v>
      </c>
      <c r="C37" s="25" t="s">
        <v>228</v>
      </c>
      <c r="D37" s="25" t="s">
        <v>151</v>
      </c>
      <c r="E37" s="25" t="s">
        <v>261</v>
      </c>
      <c r="F37" s="18" t="s">
        <v>258</v>
      </c>
      <c r="G37" s="25" t="s">
        <v>22</v>
      </c>
      <c r="H37" s="25" t="n">
        <v>4052</v>
      </c>
      <c r="I37" s="25" t="n">
        <v>4052</v>
      </c>
      <c r="J37" s="25" t="n">
        <v>0</v>
      </c>
      <c r="K37" s="25" t="s">
        <v>163</v>
      </c>
      <c r="L37" s="25" t="s">
        <v>274</v>
      </c>
      <c r="M37" s="25" t="s">
        <v>297</v>
      </c>
      <c r="N37" s="25" t="s">
        <v>298</v>
      </c>
      <c r="O37" s="26" t="n">
        <v>2</v>
      </c>
      <c r="P37" s="19" t="s">
        <v>297</v>
      </c>
      <c r="Q37" s="25" t="n">
        <v>0</v>
      </c>
      <c r="R37" s="27" t="n">
        <v>4052</v>
      </c>
      <c r="S37" s="23" t="str">
        <f aca="false" t="array" ref="S37:S37">IF(SUMPRODUCT((makaralar[MAKARA NO]=serim[[#This Row],[Makara Numarası]])*(makaralar[KALAN (mt)]&lt;0))&gt;0,
    "HATA VAR",
    "")</f>
        <v/>
      </c>
      <c r="T37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37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38" customFormat="false" ht="10.25" hidden="true" customHeight="false" outlineLevel="0" collapsed="false">
      <c r="A38" s="16" t="n">
        <v>45950</v>
      </c>
      <c r="B38" s="17" t="s">
        <v>272</v>
      </c>
      <c r="C38" s="25" t="s">
        <v>228</v>
      </c>
      <c r="D38" s="25" t="s">
        <v>151</v>
      </c>
      <c r="E38" s="25" t="s">
        <v>261</v>
      </c>
      <c r="F38" s="25" t="s">
        <v>246</v>
      </c>
      <c r="G38" s="25" t="s">
        <v>56</v>
      </c>
      <c r="H38" s="25" t="n">
        <v>2023</v>
      </c>
      <c r="I38" s="25" t="n">
        <v>2023</v>
      </c>
      <c r="J38" s="25" t="n">
        <v>0</v>
      </c>
      <c r="K38" s="25" t="s">
        <v>163</v>
      </c>
      <c r="L38" s="25" t="s">
        <v>281</v>
      </c>
      <c r="M38" s="25" t="s">
        <v>299</v>
      </c>
      <c r="N38" s="25" t="s">
        <v>300</v>
      </c>
      <c r="O38" s="26" t="n">
        <v>2</v>
      </c>
      <c r="P38" s="19" t="s">
        <v>300</v>
      </c>
      <c r="Q38" s="25" t="n">
        <v>0</v>
      </c>
      <c r="R38" s="27" t="n">
        <v>2023</v>
      </c>
      <c r="S38" s="23" t="str">
        <f aca="false" t="array" ref="S38:S38">IF(SUMPRODUCT((makaralar[MAKARA NO]=serim[[#This Row],[Makara Numarası]])*(makaralar[KALAN (mt)]&lt;0))&gt;0,
    "HATA VAR",
    "")</f>
        <v/>
      </c>
      <c r="T38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38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39" customFormat="false" ht="10.25" hidden="true" customHeight="false" outlineLevel="0" collapsed="false">
      <c r="A39" s="16" t="n">
        <v>45950</v>
      </c>
      <c r="B39" s="17" t="s">
        <v>272</v>
      </c>
      <c r="C39" s="25" t="s">
        <v>301</v>
      </c>
      <c r="D39" s="25" t="s">
        <v>294</v>
      </c>
      <c r="E39" s="25" t="s">
        <v>302</v>
      </c>
      <c r="F39" s="18" t="s">
        <v>258</v>
      </c>
      <c r="G39" s="25" t="s">
        <v>65</v>
      </c>
      <c r="H39" s="25" t="n">
        <v>1200</v>
      </c>
      <c r="I39" s="25" t="n">
        <v>1200</v>
      </c>
      <c r="J39" s="25" t="n">
        <v>170</v>
      </c>
      <c r="K39" s="25" t="s">
        <v>303</v>
      </c>
      <c r="L39" s="25" t="s">
        <v>296</v>
      </c>
      <c r="M39" s="25" t="s">
        <v>304</v>
      </c>
      <c r="N39" s="25" t="s">
        <v>305</v>
      </c>
      <c r="O39" s="26" t="n">
        <v>1</v>
      </c>
      <c r="P39" s="19"/>
      <c r="Q39" s="25" t="n">
        <v>170</v>
      </c>
      <c r="R39" s="27" t="n">
        <v>1030</v>
      </c>
      <c r="S39" s="23" t="str">
        <f aca="false" t="array" ref="S39:S39">IF(SUMPRODUCT((makaralar[MAKARA NO]=serim[[#This Row],[Makara Numarası]])*(makaralar[KALAN (mt)]&lt;0))&gt;0,
    "HATA VAR",
    "")</f>
        <v/>
      </c>
      <c r="T39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39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40" customFormat="false" ht="10.25" hidden="true" customHeight="false" outlineLevel="0" collapsed="false">
      <c r="A40" s="16" t="n">
        <v>45950</v>
      </c>
      <c r="B40" s="17" t="s">
        <v>272</v>
      </c>
      <c r="C40" s="25" t="s">
        <v>306</v>
      </c>
      <c r="D40" s="25" t="s">
        <v>307</v>
      </c>
      <c r="E40" s="25" t="s">
        <v>308</v>
      </c>
      <c r="F40" s="18" t="s">
        <v>258</v>
      </c>
      <c r="G40" s="25" t="s">
        <v>64</v>
      </c>
      <c r="H40" s="25" t="n">
        <v>2460</v>
      </c>
      <c r="I40" s="25" t="n">
        <v>2460</v>
      </c>
      <c r="J40" s="25" t="n">
        <v>2070</v>
      </c>
      <c r="K40" s="25" t="s">
        <v>309</v>
      </c>
      <c r="L40" s="25" t="s">
        <v>310</v>
      </c>
      <c r="M40" s="25" t="s">
        <v>304</v>
      </c>
      <c r="N40" s="25" t="s">
        <v>311</v>
      </c>
      <c r="O40" s="26" t="n">
        <v>1</v>
      </c>
      <c r="P40" s="19"/>
      <c r="Q40" s="25" t="n">
        <v>2070</v>
      </c>
      <c r="R40" s="27" t="n">
        <v>390</v>
      </c>
      <c r="S40" s="23" t="str">
        <f aca="false" t="array" ref="S40:S40">IF(SUMPRODUCT((makaralar[MAKARA NO]=serim[[#This Row],[Makara Numarası]])*(makaralar[KALAN (mt)]&lt;0))&gt;0,
    "HATA VAR",
    "")</f>
        <v/>
      </c>
      <c r="T40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40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41" customFormat="false" ht="10.25" hidden="true" customHeight="false" outlineLevel="0" collapsed="false">
      <c r="A41" s="16" t="n">
        <v>45950</v>
      </c>
      <c r="B41" s="17" t="s">
        <v>272</v>
      </c>
      <c r="C41" s="25" t="s">
        <v>312</v>
      </c>
      <c r="D41" s="25" t="s">
        <v>313</v>
      </c>
      <c r="E41" s="25" t="s">
        <v>307</v>
      </c>
      <c r="F41" s="18" t="s">
        <v>258</v>
      </c>
      <c r="G41" s="25" t="s">
        <v>64</v>
      </c>
      <c r="H41" s="25" t="n">
        <v>3260</v>
      </c>
      <c r="I41" s="25" t="n">
        <v>3260</v>
      </c>
      <c r="J41" s="25" t="n">
        <v>2460</v>
      </c>
      <c r="K41" s="25" t="s">
        <v>314</v>
      </c>
      <c r="L41" s="25" t="s">
        <v>315</v>
      </c>
      <c r="M41" s="25" t="s">
        <v>309</v>
      </c>
      <c r="N41" s="25" t="s">
        <v>310</v>
      </c>
      <c r="O41" s="26" t="n">
        <v>1</v>
      </c>
      <c r="P41" s="19"/>
      <c r="Q41" s="25" t="n">
        <v>2460</v>
      </c>
      <c r="R41" s="27" t="n">
        <v>800</v>
      </c>
      <c r="S41" s="23" t="str">
        <f aca="false" t="array" ref="S41:S41">IF(SUMPRODUCT((makaralar[MAKARA NO]=serim[[#This Row],[Makara Numarası]])*(makaralar[KALAN (mt)]&lt;0))&gt;0,
    "HATA VAR",
    "")</f>
        <v/>
      </c>
      <c r="T41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41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42" customFormat="false" ht="10.25" hidden="false" customHeight="false" outlineLevel="0" collapsed="false">
      <c r="A42" s="16" t="n">
        <v>45951</v>
      </c>
      <c r="B42" s="17" t="s">
        <v>272</v>
      </c>
      <c r="C42" s="25" t="s">
        <v>228</v>
      </c>
      <c r="D42" s="25" t="s">
        <v>151</v>
      </c>
      <c r="E42" s="25" t="s">
        <v>316</v>
      </c>
      <c r="F42" s="18" t="s">
        <v>162</v>
      </c>
      <c r="G42" s="25" t="s">
        <v>50</v>
      </c>
      <c r="H42" s="25" t="n">
        <v>4049</v>
      </c>
      <c r="I42" s="25" t="n">
        <v>4049</v>
      </c>
      <c r="J42" s="25" t="n">
        <v>3580</v>
      </c>
      <c r="K42" s="25" t="s">
        <v>247</v>
      </c>
      <c r="L42" s="25" t="s">
        <v>317</v>
      </c>
      <c r="M42" s="25" t="s">
        <v>229</v>
      </c>
      <c r="N42" s="25" t="s">
        <v>318</v>
      </c>
      <c r="O42" s="26" t="n">
        <v>2</v>
      </c>
      <c r="P42" s="19"/>
      <c r="Q42" s="25" t="n">
        <v>3580</v>
      </c>
      <c r="R42" s="27" t="n">
        <v>469</v>
      </c>
      <c r="S42" s="23" t="str">
        <f aca="false" t="array" ref="S42:S42">IF(SUMPRODUCT((makaralar[MAKARA NO]=serim[[#This Row],[Makara Numarası]])*(makaralar[KALAN (mt)]&lt;0))&gt;0,
    "HATA VAR",
    "")</f>
        <v/>
      </c>
      <c r="T42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42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43" customFormat="false" ht="10.25" hidden="true" customHeight="false" outlineLevel="0" collapsed="false">
      <c r="A43" s="16" t="n">
        <v>45950</v>
      </c>
      <c r="B43" s="17" t="s">
        <v>272</v>
      </c>
      <c r="C43" s="25" t="s">
        <v>319</v>
      </c>
      <c r="D43" s="25" t="s">
        <v>320</v>
      </c>
      <c r="E43" s="25" t="s">
        <v>313</v>
      </c>
      <c r="F43" s="18" t="s">
        <v>258</v>
      </c>
      <c r="G43" s="25" t="s">
        <v>64</v>
      </c>
      <c r="H43" s="25" t="n">
        <v>4105</v>
      </c>
      <c r="I43" s="25" t="n">
        <v>4105</v>
      </c>
      <c r="J43" s="25" t="n">
        <v>3260</v>
      </c>
      <c r="K43" s="25" t="s">
        <v>321</v>
      </c>
      <c r="L43" s="25" t="s">
        <v>322</v>
      </c>
      <c r="M43" s="25" t="s">
        <v>314</v>
      </c>
      <c r="N43" s="25" t="s">
        <v>315</v>
      </c>
      <c r="O43" s="26" t="n">
        <v>1</v>
      </c>
      <c r="P43" s="19"/>
      <c r="Q43" s="25" t="n">
        <v>3260</v>
      </c>
      <c r="R43" s="27" t="n">
        <v>845</v>
      </c>
      <c r="S43" s="23" t="str">
        <f aca="false" t="array" ref="S43:S43">IF(SUMPRODUCT((makaralar[MAKARA NO]=serim[[#This Row],[Makara Numarası]])*(makaralar[KALAN (mt)]&lt;0))&gt;0,
    "HATA VAR",
    "")</f>
        <v/>
      </c>
      <c r="T43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43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44" customFormat="false" ht="10.25" hidden="true" customHeight="false" outlineLevel="0" collapsed="false">
      <c r="A44" s="16" t="n">
        <v>45952</v>
      </c>
      <c r="B44" s="17" t="s">
        <v>272</v>
      </c>
      <c r="C44" s="25" t="s">
        <v>228</v>
      </c>
      <c r="D44" s="25" t="s">
        <v>151</v>
      </c>
      <c r="E44" s="25" t="s">
        <v>316</v>
      </c>
      <c r="F44" s="25" t="s">
        <v>246</v>
      </c>
      <c r="G44" s="25" t="s">
        <v>68</v>
      </c>
      <c r="H44" s="25" t="n">
        <v>2014</v>
      </c>
      <c r="I44" s="25" t="n">
        <v>2014</v>
      </c>
      <c r="J44" s="25" t="n">
        <v>0</v>
      </c>
      <c r="K44" s="25" t="s">
        <v>247</v>
      </c>
      <c r="L44" s="25" t="s">
        <v>278</v>
      </c>
      <c r="M44" s="25" t="s">
        <v>323</v>
      </c>
      <c r="N44" s="25" t="s">
        <v>317</v>
      </c>
      <c r="O44" s="26" t="n">
        <v>1</v>
      </c>
      <c r="P44" s="19" t="s">
        <v>323</v>
      </c>
      <c r="Q44" s="25" t="n">
        <v>0</v>
      </c>
      <c r="R44" s="27" t="n">
        <v>2014</v>
      </c>
      <c r="S44" s="23" t="str">
        <f aca="false" t="array" ref="S44:S44">IF(SUMPRODUCT((makaralar[MAKARA NO]=serim[[#This Row],[Makara Numarası]])*(makaralar[KALAN (mt)]&lt;0))&gt;0,
    "HATA VAR",
    "")</f>
        <v/>
      </c>
      <c r="T44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44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45" customFormat="false" ht="10.25" hidden="true" customHeight="false" outlineLevel="0" collapsed="false">
      <c r="A45" s="16" t="n">
        <v>45952</v>
      </c>
      <c r="B45" s="17" t="s">
        <v>272</v>
      </c>
      <c r="C45" s="25" t="s">
        <v>228</v>
      </c>
      <c r="D45" s="25" t="s">
        <v>151</v>
      </c>
      <c r="E45" s="25" t="s">
        <v>316</v>
      </c>
      <c r="F45" s="18" t="s">
        <v>153</v>
      </c>
      <c r="G45" s="25" t="s">
        <v>85</v>
      </c>
      <c r="H45" s="25" t="n">
        <v>1980</v>
      </c>
      <c r="I45" s="25" t="n">
        <v>1980</v>
      </c>
      <c r="J45" s="25" t="n">
        <v>1553</v>
      </c>
      <c r="K45" s="25" t="s">
        <v>247</v>
      </c>
      <c r="L45" s="25" t="s">
        <v>317</v>
      </c>
      <c r="M45" s="25" t="s">
        <v>229</v>
      </c>
      <c r="N45" s="25" t="s">
        <v>318</v>
      </c>
      <c r="O45" s="26" t="n">
        <v>1</v>
      </c>
      <c r="P45" s="19"/>
      <c r="Q45" s="25" t="n">
        <v>1553</v>
      </c>
      <c r="R45" s="27" t="n">
        <v>477</v>
      </c>
      <c r="S45" s="23" t="str">
        <f aca="false" t="array" ref="S45:S45">IF(SUMPRODUCT((makaralar[MAKARA NO]=serim[[#This Row],[Makara Numarası]])*(makaralar[KALAN (mt)]&lt;0))&gt;0,
    "HATA VAR",
    "")</f>
        <v/>
      </c>
      <c r="T45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45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46" customFormat="false" ht="10.25" hidden="true" customHeight="false" outlineLevel="0" collapsed="false">
      <c r="A46" s="16" t="n">
        <v>45952</v>
      </c>
      <c r="B46" s="17" t="s">
        <v>272</v>
      </c>
      <c r="C46" s="25" t="s">
        <v>228</v>
      </c>
      <c r="D46" s="25" t="s">
        <v>151</v>
      </c>
      <c r="E46" s="25" t="s">
        <v>316</v>
      </c>
      <c r="F46" s="18" t="s">
        <v>153</v>
      </c>
      <c r="G46" s="25" t="s">
        <v>85</v>
      </c>
      <c r="H46" s="25" t="n">
        <v>1553</v>
      </c>
      <c r="I46" s="25" t="n">
        <v>1553</v>
      </c>
      <c r="J46" s="25" t="n">
        <v>1110</v>
      </c>
      <c r="K46" s="25" t="s">
        <v>247</v>
      </c>
      <c r="L46" s="25" t="s">
        <v>300</v>
      </c>
      <c r="M46" s="25" t="s">
        <v>229</v>
      </c>
      <c r="N46" s="25" t="s">
        <v>318</v>
      </c>
      <c r="O46" s="26" t="n">
        <v>2</v>
      </c>
      <c r="P46" s="19"/>
      <c r="Q46" s="25" t="n">
        <v>1110</v>
      </c>
      <c r="R46" s="27" t="n">
        <v>443</v>
      </c>
      <c r="S46" s="23" t="str">
        <f aca="false" t="array" ref="S46:S46">IF(SUMPRODUCT((makaralar[MAKARA NO]=serim[[#This Row],[Makara Numarası]])*(makaralar[KALAN (mt)]&lt;0))&gt;0,
    "HATA VAR",
    "")</f>
        <v/>
      </c>
      <c r="T46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46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47" customFormat="false" ht="10.25" hidden="true" customHeight="false" outlineLevel="0" collapsed="false">
      <c r="A47" s="16" t="n">
        <v>45953</v>
      </c>
      <c r="B47" s="17" t="s">
        <v>272</v>
      </c>
      <c r="C47" s="25" t="s">
        <v>324</v>
      </c>
      <c r="D47" s="25" t="s">
        <v>316</v>
      </c>
      <c r="E47" s="25" t="s">
        <v>325</v>
      </c>
      <c r="F47" s="18" t="s">
        <v>153</v>
      </c>
      <c r="G47" s="25" t="s">
        <v>84</v>
      </c>
      <c r="H47" s="25" t="n">
        <v>2004</v>
      </c>
      <c r="I47" s="25" t="n">
        <v>2004</v>
      </c>
      <c r="J47" s="25" t="n">
        <v>0</v>
      </c>
      <c r="K47" s="25" t="s">
        <v>229</v>
      </c>
      <c r="L47" s="25" t="s">
        <v>318</v>
      </c>
      <c r="M47" s="25" t="s">
        <v>326</v>
      </c>
      <c r="N47" s="25" t="s">
        <v>327</v>
      </c>
      <c r="O47" s="26" t="n">
        <v>1</v>
      </c>
      <c r="P47" s="19" t="s">
        <v>326</v>
      </c>
      <c r="Q47" s="25" t="n">
        <v>0</v>
      </c>
      <c r="R47" s="22" t="n">
        <v>2004</v>
      </c>
      <c r="S47" s="23" t="str">
        <f aca="false" t="array" ref="S47:S47">IF(SUMPRODUCT((makaralar[MAKARA NO]=serim[[#This Row],[Makara Numarası]])*(makaralar[KALAN (mt)]&lt;0))&gt;0,
    "HATA VAR",
    "")</f>
        <v/>
      </c>
      <c r="T47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47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48" customFormat="false" ht="10.25" hidden="true" customHeight="false" outlineLevel="0" collapsed="false">
      <c r="A48" s="16" t="n">
        <v>45953</v>
      </c>
      <c r="B48" s="17" t="s">
        <v>272</v>
      </c>
      <c r="C48" s="25" t="s">
        <v>324</v>
      </c>
      <c r="D48" s="25" t="s">
        <v>316</v>
      </c>
      <c r="E48" s="25" t="s">
        <v>325</v>
      </c>
      <c r="F48" s="18" t="s">
        <v>153</v>
      </c>
      <c r="G48" s="25" t="s">
        <v>89</v>
      </c>
      <c r="H48" s="25" t="n">
        <v>1939</v>
      </c>
      <c r="I48" s="25" t="n">
        <v>1939</v>
      </c>
      <c r="J48" s="25" t="n">
        <v>0</v>
      </c>
      <c r="K48" s="25" t="s">
        <v>229</v>
      </c>
      <c r="L48" s="25" t="s">
        <v>318</v>
      </c>
      <c r="M48" s="25" t="s">
        <v>328</v>
      </c>
      <c r="N48" s="25" t="s">
        <v>329</v>
      </c>
      <c r="O48" s="26" t="n">
        <v>2</v>
      </c>
      <c r="P48" s="19" t="s">
        <v>328</v>
      </c>
      <c r="Q48" s="25" t="n">
        <v>0</v>
      </c>
      <c r="R48" s="22" t="n">
        <v>1939</v>
      </c>
      <c r="S48" s="23" t="str">
        <f aca="false" t="array" ref="S48:S48">IF(SUMPRODUCT((makaralar[MAKARA NO]=serim[[#This Row],[Makara Numarası]])*(makaralar[KALAN (mt)]&lt;0))&gt;0,
    "HATA VAR",
    "")</f>
        <v/>
      </c>
      <c r="T48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48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49" customFormat="false" ht="10.25" hidden="false" customHeight="false" outlineLevel="0" collapsed="false">
      <c r="A49" s="16" t="n">
        <v>45954</v>
      </c>
      <c r="B49" s="17" t="s">
        <v>272</v>
      </c>
      <c r="C49" s="25" t="s">
        <v>330</v>
      </c>
      <c r="D49" s="25" t="s">
        <v>229</v>
      </c>
      <c r="E49" s="25" t="s">
        <v>266</v>
      </c>
      <c r="F49" s="18" t="s">
        <v>162</v>
      </c>
      <c r="G49" s="25" t="s">
        <v>50</v>
      </c>
      <c r="H49" s="25" t="n">
        <v>3285</v>
      </c>
      <c r="I49" s="25" t="n">
        <v>3285</v>
      </c>
      <c r="J49" s="25" t="n">
        <v>562</v>
      </c>
      <c r="K49" s="25" t="s">
        <v>229</v>
      </c>
      <c r="L49" s="25" t="s">
        <v>318</v>
      </c>
      <c r="M49" s="25" t="s">
        <v>266</v>
      </c>
      <c r="N49" s="25" t="s">
        <v>331</v>
      </c>
      <c r="O49" s="26" t="n">
        <v>2</v>
      </c>
      <c r="P49" s="19"/>
      <c r="Q49" s="25" t="n">
        <v>562</v>
      </c>
      <c r="R49" s="27" t="n">
        <v>2723</v>
      </c>
      <c r="S49" s="23" t="str">
        <f aca="false" t="array" ref="S49:S49">IF(SUMPRODUCT((makaralar[MAKARA NO]=serim[[#This Row],[Makara Numarası]])*(makaralar[KALAN (mt)]&lt;0))&gt;0,
    "HATA VAR",
    "")</f>
        <v/>
      </c>
      <c r="T49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49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50" customFormat="false" ht="10.25" hidden="true" customHeight="false" outlineLevel="0" collapsed="false">
      <c r="A50" s="16" t="n">
        <v>45951</v>
      </c>
      <c r="B50" s="17" t="s">
        <v>272</v>
      </c>
      <c r="C50" s="25" t="s">
        <v>332</v>
      </c>
      <c r="D50" s="25" t="s">
        <v>320</v>
      </c>
      <c r="E50" s="25" t="s">
        <v>333</v>
      </c>
      <c r="F50" s="18" t="s">
        <v>162</v>
      </c>
      <c r="G50" s="25" t="s">
        <v>50</v>
      </c>
      <c r="H50" s="25" t="n">
        <v>3580</v>
      </c>
      <c r="I50" s="25" t="n">
        <v>3580</v>
      </c>
      <c r="J50" s="25" t="n">
        <v>3285</v>
      </c>
      <c r="K50" s="25" t="s">
        <v>321</v>
      </c>
      <c r="L50" s="25" t="s">
        <v>322</v>
      </c>
      <c r="M50" s="25" t="s">
        <v>334</v>
      </c>
      <c r="N50" s="25" t="s">
        <v>335</v>
      </c>
      <c r="O50" s="26" t="n">
        <v>1</v>
      </c>
      <c r="P50" s="19"/>
      <c r="Q50" s="25" t="n">
        <v>3285</v>
      </c>
      <c r="R50" s="27" t="n">
        <v>295</v>
      </c>
      <c r="S50" s="23" t="str">
        <f aca="false" t="array" ref="S50:S50">IF(SUMPRODUCT((makaralar[MAKARA NO]=serim[[#This Row],[Makara Numarası]])*(makaralar[KALAN (mt)]&lt;0))&gt;0,
    "HATA VAR",
    "")</f>
        <v/>
      </c>
      <c r="T50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50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51" customFormat="false" ht="10.25" hidden="true" customHeight="false" outlineLevel="0" collapsed="false">
      <c r="A51" s="16" t="n">
        <v>45954</v>
      </c>
      <c r="B51" s="17" t="s">
        <v>272</v>
      </c>
      <c r="C51" s="25" t="s">
        <v>336</v>
      </c>
      <c r="D51" s="25" t="s">
        <v>229</v>
      </c>
      <c r="E51" s="25" t="s">
        <v>337</v>
      </c>
      <c r="F51" s="18" t="s">
        <v>162</v>
      </c>
      <c r="G51" s="25" t="s">
        <v>50</v>
      </c>
      <c r="H51" s="25" t="n">
        <v>562</v>
      </c>
      <c r="I51" s="25" t="n">
        <v>562</v>
      </c>
      <c r="J51" s="25" t="n">
        <v>420</v>
      </c>
      <c r="K51" s="25" t="s">
        <v>229</v>
      </c>
      <c r="L51" s="25" t="s">
        <v>318</v>
      </c>
      <c r="M51" s="25" t="s">
        <v>337</v>
      </c>
      <c r="N51" s="25" t="s">
        <v>338</v>
      </c>
      <c r="O51" s="26" t="n">
        <v>1</v>
      </c>
      <c r="P51" s="19"/>
      <c r="Q51" s="25" t="n">
        <v>420</v>
      </c>
      <c r="R51" s="27" t="n">
        <v>142</v>
      </c>
      <c r="S51" s="23" t="str">
        <f aca="false" t="array" ref="S51:S51">IF(SUMPRODUCT((makaralar[MAKARA NO]=serim[[#This Row],[Makara Numarası]])*(makaralar[KALAN (mt)]&lt;0))&gt;0,
    "HATA VAR",
    "")</f>
        <v/>
      </c>
      <c r="T51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51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52" customFormat="false" ht="10.25" hidden="true" customHeight="false" outlineLevel="0" collapsed="false">
      <c r="A52" s="16" t="n">
        <v>45954</v>
      </c>
      <c r="B52" s="17" t="s">
        <v>272</v>
      </c>
      <c r="C52" s="25" t="s">
        <v>339</v>
      </c>
      <c r="D52" s="25" t="s">
        <v>337</v>
      </c>
      <c r="E52" s="25" t="s">
        <v>340</v>
      </c>
      <c r="F52" s="18" t="s">
        <v>162</v>
      </c>
      <c r="G52" s="25" t="s">
        <v>51</v>
      </c>
      <c r="H52" s="25" t="n">
        <v>4169</v>
      </c>
      <c r="I52" s="25" t="n">
        <v>4169</v>
      </c>
      <c r="J52" s="25" t="n">
        <v>3948</v>
      </c>
      <c r="K52" s="25" t="s">
        <v>337</v>
      </c>
      <c r="L52" s="25" t="s">
        <v>338</v>
      </c>
      <c r="M52" s="25" t="s">
        <v>340</v>
      </c>
      <c r="N52" s="25" t="s">
        <v>341</v>
      </c>
      <c r="O52" s="26" t="n">
        <v>1</v>
      </c>
      <c r="P52" s="19"/>
      <c r="Q52" s="25" t="n">
        <v>3948</v>
      </c>
      <c r="R52" s="27" t="n">
        <v>320</v>
      </c>
      <c r="S52" s="23" t="str">
        <f aca="false" t="array" ref="S52:S52">IF(SUMPRODUCT((makaralar[MAKARA NO]=serim[[#This Row],[Makara Numarası]])*(makaralar[KALAN (mt)]&lt;0))&gt;0,
    "HATA VAR",
    "")</f>
        <v/>
      </c>
      <c r="T52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52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53" customFormat="false" ht="10.25" hidden="true" customHeight="false" outlineLevel="0" collapsed="false">
      <c r="A53" s="16" t="n">
        <v>45954</v>
      </c>
      <c r="B53" s="17" t="s">
        <v>272</v>
      </c>
      <c r="C53" s="25" t="s">
        <v>342</v>
      </c>
      <c r="D53" s="25" t="s">
        <v>340</v>
      </c>
      <c r="E53" s="25" t="s">
        <v>343</v>
      </c>
      <c r="F53" s="18" t="s">
        <v>162</v>
      </c>
      <c r="G53" s="25" t="s">
        <v>50</v>
      </c>
      <c r="H53" s="25" t="n">
        <v>420</v>
      </c>
      <c r="I53" s="25" t="n">
        <v>420</v>
      </c>
      <c r="J53" s="25" t="n">
        <v>40</v>
      </c>
      <c r="K53" s="25" t="s">
        <v>340</v>
      </c>
      <c r="L53" s="25" t="s">
        <v>341</v>
      </c>
      <c r="M53" s="25" t="s">
        <v>343</v>
      </c>
      <c r="N53" s="25" t="s">
        <v>344</v>
      </c>
      <c r="O53" s="26" t="n">
        <v>1</v>
      </c>
      <c r="P53" s="19"/>
      <c r="Q53" s="25" t="n">
        <v>40</v>
      </c>
      <c r="R53" s="27" t="n">
        <v>380</v>
      </c>
      <c r="S53" s="23" t="str">
        <f aca="false" t="array" ref="S53:S53">IF(SUMPRODUCT((makaralar[MAKARA NO]=serim[[#This Row],[Makara Numarası]])*(makaralar[KALAN (mt)]&lt;0))&gt;0,
    "HATA VAR",
    "")</f>
        <v/>
      </c>
      <c r="T53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53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54" customFormat="false" ht="10.25" hidden="true" customHeight="false" outlineLevel="0" collapsed="false">
      <c r="A54" s="16" t="n">
        <v>45954</v>
      </c>
      <c r="B54" s="17" t="s">
        <v>272</v>
      </c>
      <c r="C54" s="25" t="s">
        <v>345</v>
      </c>
      <c r="D54" s="25" t="s">
        <v>225</v>
      </c>
      <c r="E54" s="25" t="s">
        <v>343</v>
      </c>
      <c r="F54" s="18" t="s">
        <v>162</v>
      </c>
      <c r="G54" s="25" t="s">
        <v>64</v>
      </c>
      <c r="H54" s="25" t="n">
        <v>2070</v>
      </c>
      <c r="I54" s="25" t="n">
        <v>2070</v>
      </c>
      <c r="J54" s="25" t="n">
        <v>1763</v>
      </c>
      <c r="K54" s="25" t="s">
        <v>225</v>
      </c>
      <c r="L54" s="25" t="s">
        <v>346</v>
      </c>
      <c r="M54" s="25" t="s">
        <v>343</v>
      </c>
      <c r="N54" s="25" t="s">
        <v>344</v>
      </c>
      <c r="O54" s="26" t="n">
        <v>1</v>
      </c>
      <c r="P54" s="19"/>
      <c r="Q54" s="25" t="n">
        <v>1763</v>
      </c>
      <c r="R54" s="27" t="n">
        <v>307</v>
      </c>
      <c r="S54" s="23" t="str">
        <f aca="false" t="array" ref="S54:S54">IF(SUMPRODUCT((makaralar[MAKARA NO]=serim[[#This Row],[Makara Numarası]])*(makaralar[KALAN (mt)]&lt;0))&gt;0,
    "HATA VAR",
    "")</f>
        <v/>
      </c>
      <c r="T54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54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>HATA VAR</v>
      </c>
    </row>
    <row r="55" customFormat="false" ht="10.25" hidden="true" customHeight="false" outlineLevel="0" collapsed="false">
      <c r="A55" s="16" t="n">
        <v>45954</v>
      </c>
      <c r="B55" s="17" t="s">
        <v>272</v>
      </c>
      <c r="C55" s="25" t="s">
        <v>347</v>
      </c>
      <c r="D55" s="25" t="s">
        <v>225</v>
      </c>
      <c r="E55" s="25" t="s">
        <v>348</v>
      </c>
      <c r="F55" s="18" t="s">
        <v>162</v>
      </c>
      <c r="G55" s="25" t="s">
        <v>51</v>
      </c>
      <c r="H55" s="25" t="n">
        <v>3849</v>
      </c>
      <c r="I55" s="25" t="n">
        <v>3849</v>
      </c>
      <c r="J55" s="25" t="n">
        <v>3483</v>
      </c>
      <c r="K55" s="25" t="s">
        <v>225</v>
      </c>
      <c r="L55" s="25" t="s">
        <v>346</v>
      </c>
      <c r="M55" s="25" t="s">
        <v>348</v>
      </c>
      <c r="N55" s="25" t="s">
        <v>349</v>
      </c>
      <c r="O55" s="26" t="n">
        <v>1</v>
      </c>
      <c r="P55" s="19"/>
      <c r="Q55" s="25" t="n">
        <v>3483</v>
      </c>
      <c r="R55" s="27" t="n">
        <v>366</v>
      </c>
      <c r="S55" s="23" t="str">
        <f aca="false" t="array" ref="S55:S55">IF(SUMPRODUCT((makaralar[MAKARA NO]=serim[[#This Row],[Makara Numarası]])*(makaralar[KALAN (mt)]&lt;0))&gt;0,
    "HATA VAR",
    "")</f>
        <v/>
      </c>
      <c r="T55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55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56" customFormat="false" ht="10.25" hidden="true" customHeight="false" outlineLevel="0" collapsed="false">
      <c r="A56" s="16" t="n">
        <v>45955</v>
      </c>
      <c r="B56" s="17" t="s">
        <v>272</v>
      </c>
      <c r="C56" s="25" t="s">
        <v>350</v>
      </c>
      <c r="D56" s="25" t="s">
        <v>316</v>
      </c>
      <c r="E56" s="25" t="s">
        <v>325</v>
      </c>
      <c r="F56" s="18" t="s">
        <v>153</v>
      </c>
      <c r="G56" s="25" t="s">
        <v>81</v>
      </c>
      <c r="H56" s="25" t="n">
        <v>1991</v>
      </c>
      <c r="I56" s="25" t="n">
        <v>1991</v>
      </c>
      <c r="J56" s="25" t="n">
        <v>1285</v>
      </c>
      <c r="K56" s="25" t="s">
        <v>247</v>
      </c>
      <c r="L56" s="25" t="s">
        <v>351</v>
      </c>
      <c r="M56" s="25" t="s">
        <v>352</v>
      </c>
      <c r="N56" s="25" t="s">
        <v>353</v>
      </c>
      <c r="O56" s="26" t="n">
        <v>1</v>
      </c>
      <c r="P56" s="19" t="s">
        <v>352</v>
      </c>
      <c r="Q56" s="25" t="n">
        <v>1285</v>
      </c>
      <c r="R56" s="27" t="n">
        <v>706</v>
      </c>
      <c r="S56" s="23" t="str">
        <f aca="false" t="array" ref="S56:S56">IF(SUMPRODUCT((makaralar[MAKARA NO]=serim[[#This Row],[Makara Numarası]])*(makaralar[KALAN (mt)]&lt;0))&gt;0,
    "HATA VAR",
    "")</f>
        <v/>
      </c>
      <c r="T56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56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57" customFormat="false" ht="10.25" hidden="true" customHeight="false" outlineLevel="0" collapsed="false">
      <c r="A57" s="16" t="n">
        <v>45955</v>
      </c>
      <c r="B57" s="17" t="s">
        <v>272</v>
      </c>
      <c r="C57" s="25" t="s">
        <v>350</v>
      </c>
      <c r="D57" s="25" t="s">
        <v>316</v>
      </c>
      <c r="E57" s="25" t="s">
        <v>325</v>
      </c>
      <c r="F57" s="18" t="s">
        <v>153</v>
      </c>
      <c r="G57" s="25" t="s">
        <v>81</v>
      </c>
      <c r="H57" s="25" t="n">
        <v>1285</v>
      </c>
      <c r="I57" s="25" t="n">
        <v>1285</v>
      </c>
      <c r="J57" s="25" t="n">
        <v>500</v>
      </c>
      <c r="K57" s="25" t="s">
        <v>247</v>
      </c>
      <c r="L57" s="25" t="s">
        <v>329</v>
      </c>
      <c r="M57" s="25" t="s">
        <v>352</v>
      </c>
      <c r="N57" s="25" t="s">
        <v>353</v>
      </c>
      <c r="O57" s="26" t="n">
        <v>2</v>
      </c>
      <c r="P57" s="19" t="s">
        <v>352</v>
      </c>
      <c r="Q57" s="25" t="n">
        <v>500</v>
      </c>
      <c r="R57" s="27" t="n">
        <v>785</v>
      </c>
      <c r="S57" s="23" t="str">
        <f aca="false" t="array" ref="S57:S57">IF(SUMPRODUCT((makaralar[MAKARA NO]=serim[[#This Row],[Makara Numarası]])*(makaralar[KALAN (mt)]&lt;0))&gt;0,
    "HATA VAR",
    "")</f>
        <v/>
      </c>
      <c r="T57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57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58" customFormat="false" ht="10.25" hidden="true" customHeight="false" outlineLevel="0" collapsed="false">
      <c r="A58" s="16" t="n">
        <v>45957</v>
      </c>
      <c r="B58" s="17" t="s">
        <v>272</v>
      </c>
      <c r="C58" s="25" t="s">
        <v>354</v>
      </c>
      <c r="D58" s="25" t="s">
        <v>316</v>
      </c>
      <c r="E58" s="25" t="s">
        <v>325</v>
      </c>
      <c r="F58" s="25" t="s">
        <v>246</v>
      </c>
      <c r="G58" s="25" t="s">
        <v>58</v>
      </c>
      <c r="H58" s="25" t="n">
        <v>2014</v>
      </c>
      <c r="I58" s="25" t="n">
        <v>2014</v>
      </c>
      <c r="J58" s="25" t="n">
        <v>650</v>
      </c>
      <c r="K58" s="25" t="s">
        <v>229</v>
      </c>
      <c r="L58" s="25" t="s">
        <v>353</v>
      </c>
      <c r="M58" s="25" t="s">
        <v>355</v>
      </c>
      <c r="N58" s="25" t="s">
        <v>356</v>
      </c>
      <c r="O58" s="26" t="n">
        <v>1</v>
      </c>
      <c r="P58" s="19" t="s">
        <v>355</v>
      </c>
      <c r="Q58" s="25" t="n">
        <v>650</v>
      </c>
      <c r="R58" s="27" t="n">
        <v>1364</v>
      </c>
      <c r="S58" s="23" t="str">
        <f aca="false" t="array" ref="S58:S58">IF(SUMPRODUCT((makaralar[MAKARA NO]=serim[[#This Row],[Makara Numarası]])*(makaralar[KALAN (mt)]&lt;0))&gt;0,
    "HATA VAR",
    "")</f>
        <v/>
      </c>
      <c r="T58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58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59" customFormat="false" ht="10.25" hidden="true" customHeight="false" outlineLevel="0" collapsed="false">
      <c r="A59" s="16" t="n">
        <v>45957</v>
      </c>
      <c r="B59" s="17" t="s">
        <v>272</v>
      </c>
      <c r="C59" s="25" t="s">
        <v>354</v>
      </c>
      <c r="D59" s="25" t="s">
        <v>316</v>
      </c>
      <c r="E59" s="25" t="s">
        <v>325</v>
      </c>
      <c r="F59" s="25" t="s">
        <v>246</v>
      </c>
      <c r="G59" s="25" t="s">
        <v>67</v>
      </c>
      <c r="H59" s="25" t="n">
        <v>2014</v>
      </c>
      <c r="I59" s="25" t="n">
        <v>2014</v>
      </c>
      <c r="J59" s="25" t="n">
        <v>643</v>
      </c>
      <c r="K59" s="25" t="s">
        <v>229</v>
      </c>
      <c r="L59" s="25" t="s">
        <v>353</v>
      </c>
      <c r="M59" s="25" t="s">
        <v>355</v>
      </c>
      <c r="N59" s="25" t="s">
        <v>356</v>
      </c>
      <c r="O59" s="26" t="n">
        <v>2</v>
      </c>
      <c r="P59" s="19" t="s">
        <v>355</v>
      </c>
      <c r="Q59" s="25" t="n">
        <v>643</v>
      </c>
      <c r="R59" s="27" t="n">
        <v>1371</v>
      </c>
      <c r="S59" s="23" t="str">
        <f aca="false" t="array" ref="S59:S59">IF(SUMPRODUCT((makaralar[MAKARA NO]=serim[[#This Row],[Makara Numarası]])*(makaralar[KALAN (mt)]&lt;0))&gt;0,
    "HATA VAR",
    "")</f>
        <v/>
      </c>
      <c r="T59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59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60" customFormat="false" ht="17.25" hidden="false" customHeight="false" outlineLevel="0" collapsed="false">
      <c r="A60" s="16" t="n">
        <v>45957</v>
      </c>
      <c r="B60" s="17" t="s">
        <v>272</v>
      </c>
      <c r="C60" s="25" t="s">
        <v>357</v>
      </c>
      <c r="D60" s="25" t="s">
        <v>358</v>
      </c>
      <c r="E60" s="25" t="s">
        <v>359</v>
      </c>
      <c r="F60" s="18" t="s">
        <v>258</v>
      </c>
      <c r="G60" s="25" t="s">
        <v>21</v>
      </c>
      <c r="H60" s="25" t="n">
        <v>1410</v>
      </c>
      <c r="I60" s="25" t="n">
        <v>1410</v>
      </c>
      <c r="J60" s="25" t="n">
        <v>100</v>
      </c>
      <c r="K60" s="25" t="s">
        <v>360</v>
      </c>
      <c r="L60" s="25" t="s">
        <v>331</v>
      </c>
      <c r="M60" s="25" t="s">
        <v>359</v>
      </c>
      <c r="N60" s="25" t="s">
        <v>361</v>
      </c>
      <c r="O60" s="26" t="n">
        <v>2</v>
      </c>
      <c r="P60" s="19"/>
      <c r="Q60" s="25" t="n">
        <v>100</v>
      </c>
      <c r="R60" s="27" t="n">
        <v>1310</v>
      </c>
      <c r="S60" s="23" t="str">
        <f aca="false" t="array" ref="S60:S60">IF(SUMPRODUCT((makaralar[MAKARA NO]=serim[[#This Row],[Makara Numarası]])*(makaralar[KALAN (mt)]&lt;0))&gt;0,
    "HATA VAR",
    "")</f>
        <v/>
      </c>
      <c r="T60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60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61" customFormat="false" ht="10.25" hidden="true" customHeight="false" outlineLevel="0" collapsed="false">
      <c r="A61" s="16" t="n">
        <v>45954</v>
      </c>
      <c r="B61" s="17" t="s">
        <v>272</v>
      </c>
      <c r="C61" s="25" t="s">
        <v>347</v>
      </c>
      <c r="D61" s="25" t="s">
        <v>225</v>
      </c>
      <c r="E61" s="25" t="s">
        <v>348</v>
      </c>
      <c r="F61" s="18" t="s">
        <v>162</v>
      </c>
      <c r="G61" s="25" t="s">
        <v>51</v>
      </c>
      <c r="H61" s="25" t="n">
        <v>3483</v>
      </c>
      <c r="I61" s="25" t="n">
        <v>3483</v>
      </c>
      <c r="J61" s="25" t="n">
        <v>2153</v>
      </c>
      <c r="K61" s="25" t="s">
        <v>225</v>
      </c>
      <c r="L61" s="25" t="s">
        <v>349</v>
      </c>
      <c r="M61" s="25" t="s">
        <v>352</v>
      </c>
      <c r="N61" s="25" t="s">
        <v>352</v>
      </c>
      <c r="O61" s="26" t="n">
        <v>1</v>
      </c>
      <c r="P61" s="19" t="s">
        <v>352</v>
      </c>
      <c r="Q61" s="25" t="n">
        <v>2153</v>
      </c>
      <c r="R61" s="27" t="n">
        <v>1330</v>
      </c>
      <c r="S61" s="23" t="str">
        <f aca="false" t="array" ref="S61:S61">IF(SUMPRODUCT((makaralar[MAKARA NO]=serim[[#This Row],[Makara Numarası]])*(makaralar[KALAN (mt)]&lt;0))&gt;0,
    "HATA VAR",
    "")</f>
        <v/>
      </c>
      <c r="T61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61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62" customFormat="false" ht="10.25" hidden="false" customHeight="false" outlineLevel="0" collapsed="false">
      <c r="A62" s="16" t="n">
        <v>45959</v>
      </c>
      <c r="B62" s="17" t="s">
        <v>241</v>
      </c>
      <c r="C62" s="25" t="s">
        <v>362</v>
      </c>
      <c r="D62" s="25" t="s">
        <v>289</v>
      </c>
      <c r="E62" s="25" t="s">
        <v>363</v>
      </c>
      <c r="F62" s="18" t="s">
        <v>162</v>
      </c>
      <c r="G62" s="25" t="s">
        <v>51</v>
      </c>
      <c r="H62" s="25" t="n">
        <v>2153</v>
      </c>
      <c r="I62" s="25" t="n">
        <v>2153</v>
      </c>
      <c r="J62" s="25" t="n">
        <v>1674</v>
      </c>
      <c r="K62" s="25" t="s">
        <v>289</v>
      </c>
      <c r="L62" s="25" t="s">
        <v>361</v>
      </c>
      <c r="M62" s="25" t="s">
        <v>363</v>
      </c>
      <c r="N62" s="25" t="s">
        <v>364</v>
      </c>
      <c r="O62" s="26" t="n">
        <v>2</v>
      </c>
      <c r="P62" s="19"/>
      <c r="Q62" s="25" t="n">
        <v>1674</v>
      </c>
      <c r="R62" s="27" t="n">
        <v>479</v>
      </c>
      <c r="S62" s="23" t="str">
        <f aca="false" t="array" ref="S62:S62">IF(SUMPRODUCT((makaralar[MAKARA NO]=serim[[#This Row],[Makara Numarası]])*(makaralar[KALAN (mt)]&lt;0))&gt;0,
    "HATA VAR",
    "")</f>
        <v/>
      </c>
      <c r="T62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62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63" customFormat="false" ht="10.25" hidden="false" customHeight="false" outlineLevel="0" collapsed="false">
      <c r="A63" s="16" t="n">
        <v>45959</v>
      </c>
      <c r="B63" s="17" t="s">
        <v>241</v>
      </c>
      <c r="C63" s="25" t="s">
        <v>365</v>
      </c>
      <c r="D63" s="25" t="s">
        <v>363</v>
      </c>
      <c r="E63" s="25" t="s">
        <v>366</v>
      </c>
      <c r="F63" s="18" t="s">
        <v>162</v>
      </c>
      <c r="G63" s="25" t="s">
        <v>51</v>
      </c>
      <c r="H63" s="25" t="n">
        <v>1674</v>
      </c>
      <c r="I63" s="25" t="n">
        <v>1674</v>
      </c>
      <c r="J63" s="25" t="n">
        <v>1300</v>
      </c>
      <c r="K63" s="25" t="s">
        <v>363</v>
      </c>
      <c r="L63" s="25" t="s">
        <v>364</v>
      </c>
      <c r="M63" s="25" t="s">
        <v>366</v>
      </c>
      <c r="N63" s="25" t="s">
        <v>367</v>
      </c>
      <c r="O63" s="26" t="n">
        <v>2</v>
      </c>
      <c r="P63" s="19"/>
      <c r="Q63" s="25" t="n">
        <v>1300</v>
      </c>
      <c r="R63" s="27" t="n">
        <v>374</v>
      </c>
      <c r="S63" s="23" t="str">
        <f aca="false" t="array" ref="S63:S63">IF(SUMPRODUCT((makaralar[MAKARA NO]=serim[[#This Row],[Makara Numarası]])*(makaralar[KALAN (mt)]&lt;0))&gt;0,
    "HATA VAR",
    "")</f>
        <v/>
      </c>
      <c r="T63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63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64" customFormat="false" ht="10.25" hidden="false" customHeight="false" outlineLevel="0" collapsed="false">
      <c r="A64" s="16" t="n">
        <v>45959</v>
      </c>
      <c r="B64" s="17" t="s">
        <v>241</v>
      </c>
      <c r="C64" s="25" t="s">
        <v>368</v>
      </c>
      <c r="D64" s="25" t="s">
        <v>366</v>
      </c>
      <c r="E64" s="25" t="s">
        <v>369</v>
      </c>
      <c r="F64" s="18" t="s">
        <v>162</v>
      </c>
      <c r="G64" s="25" t="s">
        <v>51</v>
      </c>
      <c r="H64" s="25" t="n">
        <v>1300</v>
      </c>
      <c r="I64" s="25" t="n">
        <v>1300</v>
      </c>
      <c r="J64" s="25" t="n">
        <v>1105</v>
      </c>
      <c r="K64" s="25" t="s">
        <v>366</v>
      </c>
      <c r="L64" s="25" t="s">
        <v>367</v>
      </c>
      <c r="M64" s="25" t="s">
        <v>369</v>
      </c>
      <c r="N64" s="25" t="s">
        <v>370</v>
      </c>
      <c r="O64" s="26" t="n">
        <v>2</v>
      </c>
      <c r="P64" s="19"/>
      <c r="Q64" s="25" t="n">
        <v>1105</v>
      </c>
      <c r="R64" s="27" t="n">
        <v>195</v>
      </c>
      <c r="S64" s="23" t="str">
        <f aca="false" t="array" ref="S64:S64">IF(SUMPRODUCT((makaralar[MAKARA NO]=serim[[#This Row],[Makara Numarası]])*(makaralar[KALAN (mt)]&lt;0))&gt;0,
    "HATA VAR",
    "")</f>
        <v/>
      </c>
      <c r="T64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64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65" customFormat="false" ht="10.25" hidden="true" customHeight="false" outlineLevel="0" collapsed="false">
      <c r="A65" s="16" t="n">
        <v>45960</v>
      </c>
      <c r="B65" s="17" t="s">
        <v>241</v>
      </c>
      <c r="C65" s="25" t="s">
        <v>350</v>
      </c>
      <c r="D65" s="25" t="s">
        <v>229</v>
      </c>
      <c r="E65" s="25" t="s">
        <v>325</v>
      </c>
      <c r="F65" s="18" t="s">
        <v>153</v>
      </c>
      <c r="G65" s="25" t="s">
        <v>80</v>
      </c>
      <c r="H65" s="25" t="n">
        <v>2013</v>
      </c>
      <c r="I65" s="25" t="n">
        <v>2013</v>
      </c>
      <c r="J65" s="25" t="n">
        <v>0</v>
      </c>
      <c r="K65" s="25" t="s">
        <v>355</v>
      </c>
      <c r="L65" s="25" t="s">
        <v>356</v>
      </c>
      <c r="M65" s="25" t="s">
        <v>371</v>
      </c>
      <c r="N65" s="25" t="s">
        <v>370</v>
      </c>
      <c r="O65" s="26" t="n">
        <v>2</v>
      </c>
      <c r="P65" s="19" t="s">
        <v>371</v>
      </c>
      <c r="Q65" s="25" t="n">
        <v>0</v>
      </c>
      <c r="R65" s="27" t="n">
        <v>2013</v>
      </c>
      <c r="S65" s="23" t="str">
        <f aca="false" t="array" ref="S65:S65">IF(SUMPRODUCT((makaralar[MAKARA NO]=serim[[#This Row],[Makara Numarası]])*(makaralar[KALAN (mt)]&lt;0))&gt;0,
    "HATA VAR",
    "")</f>
        <v/>
      </c>
      <c r="T65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65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66" customFormat="false" ht="10.25" hidden="true" customHeight="false" outlineLevel="0" collapsed="false">
      <c r="A66" s="16" t="n">
        <v>45960</v>
      </c>
      <c r="B66" s="17" t="s">
        <v>241</v>
      </c>
      <c r="C66" s="25" t="s">
        <v>350</v>
      </c>
      <c r="D66" s="25" t="s">
        <v>229</v>
      </c>
      <c r="E66" s="25" t="s">
        <v>325</v>
      </c>
      <c r="F66" s="18" t="s">
        <v>153</v>
      </c>
      <c r="G66" s="25" t="s">
        <v>86</v>
      </c>
      <c r="H66" s="25" t="n">
        <v>2054</v>
      </c>
      <c r="I66" s="25" t="n">
        <v>2054</v>
      </c>
      <c r="J66" s="25" t="n">
        <v>0</v>
      </c>
      <c r="K66" s="25" t="s">
        <v>355</v>
      </c>
      <c r="L66" s="25" t="s">
        <v>356</v>
      </c>
      <c r="M66" s="25" t="s">
        <v>371</v>
      </c>
      <c r="N66" s="25" t="s">
        <v>372</v>
      </c>
      <c r="O66" s="26" t="n">
        <v>1</v>
      </c>
      <c r="P66" s="19" t="s">
        <v>371</v>
      </c>
      <c r="Q66" s="25" t="n">
        <v>0</v>
      </c>
      <c r="R66" s="27" t="n">
        <v>2054</v>
      </c>
      <c r="S66" s="23" t="str">
        <f aca="false" t="array" ref="S66:S66">IF(SUMPRODUCT((makaralar[MAKARA NO]=serim[[#This Row],[Makara Numarası]])*(makaralar[KALAN (mt)]&lt;0))&gt;0,
    "HATA VAR",
    "")</f>
        <v/>
      </c>
      <c r="T66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66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67" customFormat="false" ht="10.25" hidden="true" customHeight="false" outlineLevel="0" collapsed="false">
      <c r="A67" s="16" t="n">
        <v>45961</v>
      </c>
      <c r="B67" s="17" t="s">
        <v>241</v>
      </c>
      <c r="C67" s="25" t="s">
        <v>350</v>
      </c>
      <c r="D67" s="25" t="s">
        <v>229</v>
      </c>
      <c r="E67" s="25" t="s">
        <v>325</v>
      </c>
      <c r="F67" s="18" t="s">
        <v>153</v>
      </c>
      <c r="G67" s="25" t="s">
        <v>83</v>
      </c>
      <c r="H67" s="25" t="n">
        <v>1990</v>
      </c>
      <c r="I67" s="25" t="n">
        <v>1990</v>
      </c>
      <c r="J67" s="25" t="n">
        <v>190</v>
      </c>
      <c r="K67" s="19" t="s">
        <v>373</v>
      </c>
      <c r="L67" s="25" t="s">
        <v>374</v>
      </c>
      <c r="M67" s="19" t="s">
        <v>375</v>
      </c>
      <c r="N67" s="25" t="s">
        <v>376</v>
      </c>
      <c r="O67" s="26" t="n">
        <v>1</v>
      </c>
      <c r="P67" s="19" t="s">
        <v>375</v>
      </c>
      <c r="Q67" s="25" t="n">
        <v>190</v>
      </c>
      <c r="R67" s="27" t="n">
        <v>1800</v>
      </c>
      <c r="S67" s="23" t="str">
        <f aca="false" t="array" ref="S67:S67">IF(SUMPRODUCT((makaralar[MAKARA NO]=serim[[#This Row],[Makara Numarası]])*(makaralar[KALAN (mt)]&lt;0))&gt;0,
    "HATA VAR",
    "")</f>
        <v/>
      </c>
      <c r="T67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67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68" customFormat="false" ht="10.25" hidden="true" customHeight="false" outlineLevel="0" collapsed="false">
      <c r="A68" s="16" t="n">
        <v>45961</v>
      </c>
      <c r="B68" s="17" t="s">
        <v>241</v>
      </c>
      <c r="C68" s="25" t="s">
        <v>350</v>
      </c>
      <c r="D68" s="25" t="s">
        <v>229</v>
      </c>
      <c r="E68" s="25" t="s">
        <v>325</v>
      </c>
      <c r="F68" s="18" t="s">
        <v>153</v>
      </c>
      <c r="G68" s="25" t="s">
        <v>78</v>
      </c>
      <c r="H68" s="25" t="n">
        <v>2013</v>
      </c>
      <c r="I68" s="25" t="n">
        <v>2013</v>
      </c>
      <c r="J68" s="25" t="n">
        <v>220</v>
      </c>
      <c r="K68" s="19" t="s">
        <v>373</v>
      </c>
      <c r="L68" s="25" t="s">
        <v>374</v>
      </c>
      <c r="M68" s="19" t="s">
        <v>375</v>
      </c>
      <c r="N68" s="25" t="s">
        <v>376</v>
      </c>
      <c r="O68" s="26" t="n">
        <v>2</v>
      </c>
      <c r="P68" s="19" t="s">
        <v>375</v>
      </c>
      <c r="Q68" s="25" t="n">
        <v>220</v>
      </c>
      <c r="R68" s="27" t="n">
        <v>1793</v>
      </c>
      <c r="S68" s="23" t="str">
        <f aca="false" t="array" ref="S68:S68">IF(SUMPRODUCT((makaralar[MAKARA NO]=serim[[#This Row],[Makara Numarası]])*(makaralar[KALAN (mt)]&lt;0))&gt;0,
    "HATA VAR",
    "")</f>
        <v/>
      </c>
      <c r="T68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68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69" customFormat="false" ht="10.25" hidden="false" customHeight="false" outlineLevel="0" collapsed="false">
      <c r="A69" s="16" t="n">
        <v>45961</v>
      </c>
      <c r="B69" s="17" t="s">
        <v>241</v>
      </c>
      <c r="C69" s="25" t="s">
        <v>377</v>
      </c>
      <c r="D69" s="25" t="s">
        <v>369</v>
      </c>
      <c r="E69" s="25" t="s">
        <v>378</v>
      </c>
      <c r="F69" s="18" t="s">
        <v>162</v>
      </c>
      <c r="G69" s="25" t="s">
        <v>48</v>
      </c>
      <c r="H69" s="25" t="n">
        <v>4100</v>
      </c>
      <c r="I69" s="25" t="n">
        <v>4100</v>
      </c>
      <c r="J69" s="25" t="n">
        <v>2565</v>
      </c>
      <c r="K69" s="25" t="s">
        <v>369</v>
      </c>
      <c r="L69" s="25" t="s">
        <v>370</v>
      </c>
      <c r="M69" s="25" t="s">
        <v>378</v>
      </c>
      <c r="N69" s="25" t="s">
        <v>379</v>
      </c>
      <c r="O69" s="26" t="n">
        <v>2</v>
      </c>
      <c r="P69" s="19"/>
      <c r="Q69" s="25" t="n">
        <v>2565</v>
      </c>
      <c r="R69" s="27" t="n">
        <v>1535</v>
      </c>
      <c r="S69" s="23" t="str">
        <f aca="false" t="array" ref="S69:S69">IF(SUMPRODUCT((makaralar[MAKARA NO]=serim[[#This Row],[Makara Numarası]])*(makaralar[KALAN (mt)]&lt;0))&gt;0,
    "HATA VAR",
    "")</f>
        <v/>
      </c>
      <c r="T69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69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70" customFormat="false" ht="10.25" hidden="false" customHeight="false" outlineLevel="0" collapsed="false">
      <c r="A70" s="16" t="n">
        <v>45961</v>
      </c>
      <c r="B70" s="17" t="s">
        <v>241</v>
      </c>
      <c r="C70" s="25" t="s">
        <v>380</v>
      </c>
      <c r="D70" s="25" t="s">
        <v>378</v>
      </c>
      <c r="E70" s="25" t="s">
        <v>304</v>
      </c>
      <c r="F70" s="18" t="s">
        <v>162</v>
      </c>
      <c r="G70" s="25" t="s">
        <v>48</v>
      </c>
      <c r="H70" s="25" t="n">
        <v>2565</v>
      </c>
      <c r="I70" s="25" t="n">
        <v>2565</v>
      </c>
      <c r="J70" s="25" t="n">
        <v>1150</v>
      </c>
      <c r="K70" s="25" t="s">
        <v>378</v>
      </c>
      <c r="L70" s="25" t="s">
        <v>379</v>
      </c>
      <c r="M70" s="25" t="s">
        <v>304</v>
      </c>
      <c r="N70" s="25" t="s">
        <v>381</v>
      </c>
      <c r="O70" s="26" t="n">
        <v>2</v>
      </c>
      <c r="P70" s="19"/>
      <c r="Q70" s="25" t="n">
        <v>1150</v>
      </c>
      <c r="R70" s="27" t="n">
        <v>1415</v>
      </c>
      <c r="S70" s="23" t="str">
        <f aca="false" t="array" ref="S70:S70">IF(SUMPRODUCT((makaralar[MAKARA NO]=serim[[#This Row],[Makara Numarası]])*(makaralar[KALAN (mt)]&lt;0))&gt;0,
    "HATA VAR",
    "")</f>
        <v/>
      </c>
      <c r="T70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70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71" customFormat="false" ht="10.25" hidden="true" customHeight="false" outlineLevel="0" collapsed="false">
      <c r="A71" s="16" t="n">
        <v>45961</v>
      </c>
      <c r="B71" s="17" t="s">
        <v>149</v>
      </c>
      <c r="C71" s="25" t="s">
        <v>382</v>
      </c>
      <c r="D71" s="25" t="s">
        <v>383</v>
      </c>
      <c r="E71" s="25" t="s">
        <v>243</v>
      </c>
      <c r="F71" s="18" t="s">
        <v>162</v>
      </c>
      <c r="G71" s="25" t="s">
        <v>21</v>
      </c>
      <c r="H71" s="25" t="n">
        <v>100</v>
      </c>
      <c r="I71" s="25" t="n">
        <v>100</v>
      </c>
      <c r="J71" s="25" t="n">
        <v>0</v>
      </c>
      <c r="K71" s="19" t="s">
        <v>384</v>
      </c>
      <c r="L71" s="19" t="s">
        <v>385</v>
      </c>
      <c r="M71" s="25" t="s">
        <v>243</v>
      </c>
      <c r="N71" s="25" t="s">
        <v>244</v>
      </c>
      <c r="O71" s="26" t="n">
        <v>1</v>
      </c>
      <c r="P71" s="19"/>
      <c r="Q71" s="25" t="n">
        <v>0</v>
      </c>
      <c r="R71" s="27" t="n">
        <v>100</v>
      </c>
      <c r="S71" s="23" t="str">
        <f aca="false" t="array" ref="S71:S71">IF(SUMPRODUCT((makaralar[MAKARA NO]=serim[[#This Row],[Makara Numarası]])*(makaralar[KALAN (mt)]&lt;0))&gt;0,
    "HATA VAR",
    "")</f>
        <v/>
      </c>
      <c r="T71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71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>HATA VAR</v>
      </c>
    </row>
    <row r="72" customFormat="false" ht="10.25" hidden="true" customHeight="false" outlineLevel="0" collapsed="false">
      <c r="A72" s="16" t="n">
        <v>45957</v>
      </c>
      <c r="B72" s="17" t="s">
        <v>272</v>
      </c>
      <c r="C72" s="25" t="s">
        <v>386</v>
      </c>
      <c r="D72" s="25" t="s">
        <v>247</v>
      </c>
      <c r="E72" s="25" t="s">
        <v>387</v>
      </c>
      <c r="F72" s="18" t="s">
        <v>258</v>
      </c>
      <c r="G72" s="25" t="s">
        <v>64</v>
      </c>
      <c r="H72" s="25" t="n">
        <v>1763</v>
      </c>
      <c r="I72" s="25" t="n">
        <v>1763</v>
      </c>
      <c r="J72" s="25" t="n">
        <v>316</v>
      </c>
      <c r="K72" s="25" t="s">
        <v>247</v>
      </c>
      <c r="L72" s="25" t="s">
        <v>353</v>
      </c>
      <c r="M72" s="25" t="s">
        <v>387</v>
      </c>
      <c r="N72" s="25" t="s">
        <v>356</v>
      </c>
      <c r="O72" s="26" t="n">
        <v>1</v>
      </c>
      <c r="P72" s="19"/>
      <c r="Q72" s="25" t="n">
        <v>316</v>
      </c>
      <c r="R72" s="27" t="n">
        <v>1447</v>
      </c>
      <c r="S72" s="23" t="str">
        <f aca="false" t="array" ref="S72:S72">IF(SUMPRODUCT((makaralar[MAKARA NO]=serim[[#This Row],[Makara Numarası]])*(makaralar[KALAN (mt)]&lt;0))&gt;0,
    "HATA VAR",
    "")</f>
        <v/>
      </c>
      <c r="T72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72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73" customFormat="false" ht="10.25" hidden="true" customHeight="false" outlineLevel="0" collapsed="false">
      <c r="A73" s="16" t="n">
        <v>45961</v>
      </c>
      <c r="B73" s="17" t="s">
        <v>241</v>
      </c>
      <c r="C73" s="25" t="s">
        <v>388</v>
      </c>
      <c r="D73" s="25" t="s">
        <v>387</v>
      </c>
      <c r="E73" s="25" t="s">
        <v>247</v>
      </c>
      <c r="F73" s="18" t="s">
        <v>162</v>
      </c>
      <c r="G73" s="25" t="s">
        <v>47</v>
      </c>
      <c r="H73" s="25" t="n">
        <v>4079</v>
      </c>
      <c r="I73" s="25" t="n">
        <v>4079</v>
      </c>
      <c r="J73" s="25" t="n">
        <v>210</v>
      </c>
      <c r="K73" s="19" t="s">
        <v>355</v>
      </c>
      <c r="L73" s="25" t="s">
        <v>356</v>
      </c>
      <c r="M73" s="19" t="s">
        <v>375</v>
      </c>
      <c r="N73" s="25" t="s">
        <v>376</v>
      </c>
      <c r="O73" s="26" t="n">
        <v>1</v>
      </c>
      <c r="P73" s="19" t="s">
        <v>375</v>
      </c>
      <c r="Q73" s="25" t="n">
        <v>210</v>
      </c>
      <c r="R73" s="27" t="n">
        <v>3869</v>
      </c>
      <c r="S73" s="23" t="str">
        <f aca="false" t="array" ref="S73:S73">IF(SUMPRODUCT((makaralar[MAKARA NO]=serim[[#This Row],[Makara Numarası]])*(makaralar[KALAN (mt)]&lt;0))&gt;0,
    "HATA VAR",
    "")</f>
        <v/>
      </c>
      <c r="T73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73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74" customFormat="false" ht="10.25" hidden="true" customHeight="false" outlineLevel="0" collapsed="false">
      <c r="A74" s="16" t="n">
        <v>45964</v>
      </c>
      <c r="B74" s="17" t="s">
        <v>241</v>
      </c>
      <c r="C74" s="25" t="s">
        <v>350</v>
      </c>
      <c r="D74" s="25" t="s">
        <v>229</v>
      </c>
      <c r="E74" s="25" t="s">
        <v>325</v>
      </c>
      <c r="F74" s="25" t="s">
        <v>246</v>
      </c>
      <c r="G74" s="25" t="s">
        <v>73</v>
      </c>
      <c r="H74" s="25" t="n">
        <v>1905</v>
      </c>
      <c r="I74" s="25" t="n">
        <v>1905</v>
      </c>
      <c r="J74" s="25" t="n">
        <v>300</v>
      </c>
      <c r="K74" s="25" t="s">
        <v>375</v>
      </c>
      <c r="L74" s="25" t="s">
        <v>376</v>
      </c>
      <c r="M74" s="25" t="s">
        <v>389</v>
      </c>
      <c r="N74" s="25" t="s">
        <v>390</v>
      </c>
      <c r="O74" s="26" t="n">
        <v>2</v>
      </c>
      <c r="P74" s="19" t="s">
        <v>389</v>
      </c>
      <c r="Q74" s="25" t="n">
        <v>300</v>
      </c>
      <c r="R74" s="27" t="n">
        <v>1605</v>
      </c>
      <c r="S74" s="23" t="str">
        <f aca="false" t="array" ref="S74:S74">IF(SUMPRODUCT((makaralar[MAKARA NO]=serim[[#This Row],[Makara Numarası]])*(makaralar[KALAN (mt)]&lt;0))&gt;0,
    "HATA VAR",
    "")</f>
        <v/>
      </c>
      <c r="T74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74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75" customFormat="false" ht="10.25" hidden="true" customHeight="false" outlineLevel="0" collapsed="false">
      <c r="A75" s="16" t="n">
        <v>45964</v>
      </c>
      <c r="B75" s="17" t="s">
        <v>241</v>
      </c>
      <c r="C75" s="25" t="s">
        <v>350</v>
      </c>
      <c r="D75" s="25" t="s">
        <v>229</v>
      </c>
      <c r="E75" s="25" t="s">
        <v>229</v>
      </c>
      <c r="F75" s="25" t="s">
        <v>246</v>
      </c>
      <c r="G75" s="25" t="s">
        <v>72</v>
      </c>
      <c r="H75" s="25" t="n">
        <v>2000</v>
      </c>
      <c r="I75" s="25" t="n">
        <v>2000</v>
      </c>
      <c r="J75" s="25" t="n">
        <v>0</v>
      </c>
      <c r="K75" s="25" t="s">
        <v>375</v>
      </c>
      <c r="L75" s="25" t="s">
        <v>376</v>
      </c>
      <c r="M75" s="25" t="s">
        <v>325</v>
      </c>
      <c r="N75" s="25" t="s">
        <v>391</v>
      </c>
      <c r="O75" s="26" t="n">
        <v>1</v>
      </c>
      <c r="P75" s="19"/>
      <c r="Q75" s="25" t="n">
        <v>0</v>
      </c>
      <c r="R75" s="27" t="n">
        <v>2000</v>
      </c>
      <c r="S75" s="23" t="str">
        <f aca="false" t="array" ref="S75:S75">IF(SUMPRODUCT((makaralar[MAKARA NO]=serim[[#This Row],[Makara Numarası]])*(makaralar[KALAN (mt)]&lt;0))&gt;0,
    "HATA VAR",
    "")</f>
        <v/>
      </c>
      <c r="T75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75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76" customFormat="false" ht="10.25" hidden="false" customHeight="false" outlineLevel="0" collapsed="false">
      <c r="A76" s="16" t="n">
        <v>45964</v>
      </c>
      <c r="B76" s="17" t="s">
        <v>241</v>
      </c>
      <c r="C76" s="25" t="s">
        <v>392</v>
      </c>
      <c r="D76" s="25" t="s">
        <v>304</v>
      </c>
      <c r="E76" s="25" t="s">
        <v>321</v>
      </c>
      <c r="F76" s="25" t="s">
        <v>258</v>
      </c>
      <c r="G76" s="25" t="s">
        <v>63</v>
      </c>
      <c r="H76" s="25" t="n">
        <v>4060</v>
      </c>
      <c r="I76" s="25" t="n">
        <v>4060</v>
      </c>
      <c r="J76" s="25" t="n">
        <v>3372</v>
      </c>
      <c r="K76" s="25" t="s">
        <v>393</v>
      </c>
      <c r="L76" s="25" t="s">
        <v>381</v>
      </c>
      <c r="M76" s="25" t="s">
        <v>321</v>
      </c>
      <c r="N76" s="25" t="s">
        <v>394</v>
      </c>
      <c r="O76" s="26" t="n">
        <v>2</v>
      </c>
      <c r="P76" s="19"/>
      <c r="Q76" s="25" t="n">
        <v>3372</v>
      </c>
      <c r="R76" s="27" t="n">
        <v>688</v>
      </c>
      <c r="S76" s="23" t="str">
        <f aca="false" t="array" ref="S76:S76">IF(SUMPRODUCT((makaralar[MAKARA NO]=serim[[#This Row],[Makara Numarası]])*(makaralar[KALAN (mt)]&lt;0))&gt;0,
    "HATA VAR",
    "")</f>
        <v/>
      </c>
      <c r="T76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76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77" customFormat="false" ht="10.25" hidden="false" customHeight="false" outlineLevel="0" collapsed="false">
      <c r="A77" s="16" t="n">
        <v>45964</v>
      </c>
      <c r="B77" s="17" t="s">
        <v>241</v>
      </c>
      <c r="C77" s="25" t="s">
        <v>395</v>
      </c>
      <c r="D77" s="25" t="s">
        <v>321</v>
      </c>
      <c r="E77" s="25" t="s">
        <v>396</v>
      </c>
      <c r="F77" s="25" t="s">
        <v>258</v>
      </c>
      <c r="G77" s="25" t="s">
        <v>63</v>
      </c>
      <c r="H77" s="25" t="n">
        <v>3372</v>
      </c>
      <c r="I77" s="25" t="n">
        <v>3372</v>
      </c>
      <c r="J77" s="25" t="n">
        <v>2445</v>
      </c>
      <c r="K77" s="25" t="s">
        <v>321</v>
      </c>
      <c r="L77" s="25" t="s">
        <v>394</v>
      </c>
      <c r="M77" s="25" t="s">
        <v>396</v>
      </c>
      <c r="N77" s="25" t="s">
        <v>397</v>
      </c>
      <c r="O77" s="26" t="n">
        <v>2</v>
      </c>
      <c r="P77" s="19"/>
      <c r="Q77" s="25" t="n">
        <v>2445</v>
      </c>
      <c r="R77" s="27" t="n">
        <v>927</v>
      </c>
      <c r="S77" s="23" t="str">
        <f aca="false" t="array" ref="S77:S77">IF(SUMPRODUCT((makaralar[MAKARA NO]=serim[[#This Row],[Makara Numarası]])*(makaralar[KALAN (mt)]&lt;0))&gt;0,
    "HATA VAR",
    "")</f>
        <v/>
      </c>
      <c r="T77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77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78" customFormat="false" ht="10.25" hidden="true" customHeight="false" outlineLevel="0" collapsed="false">
      <c r="A78" s="16" t="n">
        <v>45964</v>
      </c>
      <c r="B78" s="17" t="s">
        <v>241</v>
      </c>
      <c r="C78" s="25" t="s">
        <v>398</v>
      </c>
      <c r="D78" s="25" t="s">
        <v>247</v>
      </c>
      <c r="E78" s="25" t="s">
        <v>399</v>
      </c>
      <c r="F78" s="25" t="s">
        <v>258</v>
      </c>
      <c r="G78" s="25" t="s">
        <v>63</v>
      </c>
      <c r="H78" s="25" t="n">
        <v>1010</v>
      </c>
      <c r="I78" s="25" t="n">
        <v>1010</v>
      </c>
      <c r="J78" s="25" t="n">
        <v>630</v>
      </c>
      <c r="K78" s="25" t="s">
        <v>247</v>
      </c>
      <c r="L78" s="25" t="s">
        <v>400</v>
      </c>
      <c r="M78" s="25" t="s">
        <v>399</v>
      </c>
      <c r="N78" s="25" t="s">
        <v>376</v>
      </c>
      <c r="O78" s="26" t="n">
        <v>1</v>
      </c>
      <c r="P78" s="19"/>
      <c r="Q78" s="25" t="n">
        <v>630</v>
      </c>
      <c r="R78" s="27" t="n">
        <v>380</v>
      </c>
      <c r="S78" s="23" t="str">
        <f aca="false" t="array" ref="S78:S78">IF(SUMPRODUCT((makaralar[MAKARA NO]=serim[[#This Row],[Makara Numarası]])*(makaralar[KALAN (mt)]&lt;0))&gt;0,
    "HATA VAR",
    "")</f>
        <v/>
      </c>
      <c r="T78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78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79" customFormat="false" ht="10.25" hidden="true" customHeight="false" outlineLevel="0" collapsed="false">
      <c r="A79" s="16" t="n">
        <v>45965</v>
      </c>
      <c r="B79" s="17" t="s">
        <v>241</v>
      </c>
      <c r="C79" s="25" t="s">
        <v>401</v>
      </c>
      <c r="D79" s="25" t="s">
        <v>399</v>
      </c>
      <c r="E79" s="25" t="s">
        <v>402</v>
      </c>
      <c r="F79" s="25" t="s">
        <v>162</v>
      </c>
      <c r="G79" s="25" t="s">
        <v>47</v>
      </c>
      <c r="H79" s="25" t="n">
        <v>95</v>
      </c>
      <c r="I79" s="25" t="n">
        <v>95</v>
      </c>
      <c r="J79" s="25" t="n">
        <v>0</v>
      </c>
      <c r="K79" s="25" t="s">
        <v>399</v>
      </c>
      <c r="L79" s="25" t="s">
        <v>400</v>
      </c>
      <c r="M79" s="25" t="s">
        <v>402</v>
      </c>
      <c r="N79" s="25" t="s">
        <v>403</v>
      </c>
      <c r="O79" s="26" t="n">
        <v>1</v>
      </c>
      <c r="P79" s="19"/>
      <c r="Q79" s="25" t="n">
        <v>0</v>
      </c>
      <c r="R79" s="27" t="n">
        <v>95</v>
      </c>
      <c r="S79" s="23" t="str">
        <f aca="false" t="array" ref="S79:S79">IF(SUMPRODUCT((makaralar[MAKARA NO]=serim[[#This Row],[Makara Numarası]])*(makaralar[KALAN (mt)]&lt;0))&gt;0,
    "HATA VAR",
    "")</f>
        <v/>
      </c>
      <c r="T79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79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80" customFormat="false" ht="10.25" hidden="true" customHeight="false" outlineLevel="0" collapsed="false">
      <c r="A80" s="16" t="n">
        <v>45966</v>
      </c>
      <c r="B80" s="17" t="s">
        <v>241</v>
      </c>
      <c r="C80" s="25" t="s">
        <v>404</v>
      </c>
      <c r="D80" s="25" t="s">
        <v>405</v>
      </c>
      <c r="E80" s="25" t="s">
        <v>402</v>
      </c>
      <c r="F80" s="25" t="s">
        <v>162</v>
      </c>
      <c r="G80" s="25" t="s">
        <v>48</v>
      </c>
      <c r="H80" s="25" t="n">
        <v>1150</v>
      </c>
      <c r="I80" s="25" t="n">
        <v>1150</v>
      </c>
      <c r="J80" s="25" t="n">
        <v>870</v>
      </c>
      <c r="K80" s="25" t="s">
        <v>405</v>
      </c>
      <c r="L80" s="25" t="s">
        <v>406</v>
      </c>
      <c r="M80" s="25" t="s">
        <v>402</v>
      </c>
      <c r="N80" s="25" t="s">
        <v>403</v>
      </c>
      <c r="O80" s="26" t="n">
        <v>1</v>
      </c>
      <c r="P80" s="19"/>
      <c r="Q80" s="25" t="n">
        <v>870</v>
      </c>
      <c r="R80" s="27" t="n">
        <v>280</v>
      </c>
      <c r="S80" s="23" t="str">
        <f aca="false" t="array" ref="S80:S80">IF(SUMPRODUCT((makaralar[MAKARA NO]=serim[[#This Row],[Makara Numarası]])*(makaralar[KALAN (mt)]&lt;0))&gt;0,
    "HATA VAR",
    "")</f>
        <v/>
      </c>
      <c r="T80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80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81" customFormat="false" ht="10.25" hidden="true" customHeight="false" outlineLevel="0" collapsed="false">
      <c r="A81" s="16" t="n">
        <v>45965</v>
      </c>
      <c r="B81" s="17" t="s">
        <v>241</v>
      </c>
      <c r="C81" s="25" t="s">
        <v>407</v>
      </c>
      <c r="D81" s="25" t="s">
        <v>408</v>
      </c>
      <c r="E81" s="25" t="s">
        <v>405</v>
      </c>
      <c r="F81" s="25" t="s">
        <v>162</v>
      </c>
      <c r="G81" s="25" t="s">
        <v>47</v>
      </c>
      <c r="H81" s="25" t="n">
        <v>210</v>
      </c>
      <c r="I81" s="25" t="n">
        <v>210</v>
      </c>
      <c r="J81" s="25" t="n">
        <v>95</v>
      </c>
      <c r="K81" s="19" t="s">
        <v>408</v>
      </c>
      <c r="L81" s="19" t="s">
        <v>409</v>
      </c>
      <c r="M81" s="25" t="s">
        <v>405</v>
      </c>
      <c r="N81" s="25" t="s">
        <v>406</v>
      </c>
      <c r="O81" s="26" t="n">
        <v>1</v>
      </c>
      <c r="P81" s="19"/>
      <c r="Q81" s="25" t="n">
        <v>95</v>
      </c>
      <c r="R81" s="27" t="n">
        <v>115</v>
      </c>
      <c r="S81" s="23" t="str">
        <f aca="false" t="array" ref="S81:S81">IF(SUMPRODUCT((makaralar[MAKARA NO]=serim[[#This Row],[Makara Numarası]])*(makaralar[KALAN (mt)]&lt;0))&gt;0,
    "HATA VAR",
    "")</f>
        <v/>
      </c>
      <c r="T81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81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82" customFormat="false" ht="10.25" hidden="true" customHeight="false" outlineLevel="0" collapsed="false">
      <c r="A82" s="16" t="n">
        <v>45969</v>
      </c>
      <c r="B82" s="17" t="s">
        <v>241</v>
      </c>
      <c r="C82" s="25" t="s">
        <v>410</v>
      </c>
      <c r="D82" s="25" t="s">
        <v>411</v>
      </c>
      <c r="E82" s="25" t="s">
        <v>412</v>
      </c>
      <c r="F82" s="25" t="s">
        <v>258</v>
      </c>
      <c r="G82" s="25" t="s">
        <v>66</v>
      </c>
      <c r="H82" s="25" t="n">
        <v>4096</v>
      </c>
      <c r="I82" s="25" t="n">
        <v>4096</v>
      </c>
      <c r="J82" s="25" t="n">
        <v>3005</v>
      </c>
      <c r="K82" s="25" t="s">
        <v>389</v>
      </c>
      <c r="L82" s="25" t="s">
        <v>390</v>
      </c>
      <c r="M82" s="25" t="s">
        <v>411</v>
      </c>
      <c r="N82" s="25" t="s">
        <v>413</v>
      </c>
      <c r="O82" s="26" t="n">
        <v>1</v>
      </c>
      <c r="P82" s="19"/>
      <c r="Q82" s="25" t="n">
        <v>3005</v>
      </c>
      <c r="R82" s="27" t="n">
        <v>1091</v>
      </c>
      <c r="S82" s="23" t="str">
        <f aca="false" t="array" ref="S82:S82">IF(SUMPRODUCT((makaralar[MAKARA NO]=serim[[#This Row],[Makara Numarası]])*(makaralar[KALAN (mt)]&lt;0))&gt;0,
    "HATA VAR",
    "")</f>
        <v/>
      </c>
      <c r="T82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82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83" customFormat="false" ht="10.25" hidden="true" customHeight="false" outlineLevel="0" collapsed="false">
      <c r="A83" s="16" t="n">
        <v>45966</v>
      </c>
      <c r="B83" s="17" t="s">
        <v>241</v>
      </c>
      <c r="C83" s="25" t="s">
        <v>350</v>
      </c>
      <c r="D83" s="25" t="s">
        <v>229</v>
      </c>
      <c r="E83" s="25" t="s">
        <v>229</v>
      </c>
      <c r="F83" s="18" t="s">
        <v>153</v>
      </c>
      <c r="G83" s="25" t="s">
        <v>43</v>
      </c>
      <c r="H83" s="25" t="n">
        <v>380</v>
      </c>
      <c r="I83" s="25" t="n">
        <v>380</v>
      </c>
      <c r="J83" s="25" t="n">
        <v>0</v>
      </c>
      <c r="K83" s="25" t="s">
        <v>229</v>
      </c>
      <c r="L83" s="25" t="s">
        <v>390</v>
      </c>
      <c r="M83" s="25" t="s">
        <v>229</v>
      </c>
      <c r="N83" s="25" t="s">
        <v>391</v>
      </c>
      <c r="O83" s="26" t="n">
        <v>2</v>
      </c>
      <c r="P83" s="19"/>
      <c r="Q83" s="25" t="n">
        <v>0</v>
      </c>
      <c r="R83" s="27" t="n">
        <v>380</v>
      </c>
      <c r="S83" s="23" t="str">
        <f aca="false" t="array" ref="S83:S83">IF(SUMPRODUCT((makaralar[MAKARA NO]=serim[[#This Row],[Makara Numarası]])*(makaralar[KALAN (mt)]&lt;0))&gt;0,
    "HATA VAR",
    "")</f>
        <v/>
      </c>
      <c r="T83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83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84" customFormat="false" ht="10.25" hidden="false" customHeight="false" outlineLevel="0" collapsed="false">
      <c r="A84" s="16" t="n">
        <v>45966</v>
      </c>
      <c r="B84" s="17" t="s">
        <v>241</v>
      </c>
      <c r="C84" s="25" t="s">
        <v>414</v>
      </c>
      <c r="D84" s="25" t="s">
        <v>396</v>
      </c>
      <c r="E84" s="25" t="s">
        <v>396</v>
      </c>
      <c r="F84" s="25" t="s">
        <v>162</v>
      </c>
      <c r="G84" s="25" t="s">
        <v>48</v>
      </c>
      <c r="H84" s="25" t="n">
        <v>870</v>
      </c>
      <c r="I84" s="25" t="n">
        <v>870</v>
      </c>
      <c r="J84" s="25" t="n">
        <v>735</v>
      </c>
      <c r="K84" s="25" t="s">
        <v>396</v>
      </c>
      <c r="L84" s="25" t="s">
        <v>397</v>
      </c>
      <c r="M84" s="25" t="s">
        <v>396</v>
      </c>
      <c r="N84" s="25" t="s">
        <v>415</v>
      </c>
      <c r="O84" s="26" t="n">
        <v>2</v>
      </c>
      <c r="P84" s="19"/>
      <c r="Q84" s="25" t="n">
        <v>735</v>
      </c>
      <c r="R84" s="27" t="n">
        <v>135</v>
      </c>
      <c r="S84" s="23" t="str">
        <f aca="false" t="array" ref="S84:S84">IF(SUMPRODUCT((makaralar[MAKARA NO]=serim[[#This Row],[Makara Numarası]])*(makaralar[KALAN (mt)]&lt;0))&gt;0,
    "HATA VAR",
    "")</f>
        <v/>
      </c>
      <c r="T84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84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85" customFormat="false" ht="10.25" hidden="false" customHeight="false" outlineLevel="0" collapsed="false">
      <c r="A85" s="16" t="n">
        <v>45966</v>
      </c>
      <c r="B85" s="17" t="s">
        <v>241</v>
      </c>
      <c r="C85" s="25" t="s">
        <v>416</v>
      </c>
      <c r="D85" s="25" t="s">
        <v>417</v>
      </c>
      <c r="E85" s="25" t="s">
        <v>417</v>
      </c>
      <c r="F85" s="25" t="s">
        <v>162</v>
      </c>
      <c r="G85" s="25" t="s">
        <v>48</v>
      </c>
      <c r="H85" s="25" t="n">
        <v>735</v>
      </c>
      <c r="I85" s="25" t="n">
        <v>735</v>
      </c>
      <c r="J85" s="25" t="n">
        <v>450</v>
      </c>
      <c r="K85" s="25" t="s">
        <v>417</v>
      </c>
      <c r="L85" s="25" t="s">
        <v>415</v>
      </c>
      <c r="M85" s="25" t="s">
        <v>417</v>
      </c>
      <c r="N85" s="25" t="s">
        <v>391</v>
      </c>
      <c r="O85" s="26" t="n">
        <v>2</v>
      </c>
      <c r="P85" s="19"/>
      <c r="Q85" s="25" t="n">
        <v>450</v>
      </c>
      <c r="R85" s="27" t="n">
        <v>285</v>
      </c>
      <c r="S85" s="23" t="str">
        <f aca="false" t="array" ref="S85:S85">IF(SUMPRODUCT((makaralar[MAKARA NO]=serim[[#This Row],[Makara Numarası]])*(makaralar[KALAN (mt)]&lt;0))&gt;0,
    "HATA VAR",
    "")</f>
        <v/>
      </c>
      <c r="T85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85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86" customFormat="false" ht="10.25" hidden="true" customHeight="false" outlineLevel="0" collapsed="false">
      <c r="A86" s="16" t="n">
        <v>45964</v>
      </c>
      <c r="B86" s="17" t="s">
        <v>241</v>
      </c>
      <c r="C86" s="25" t="s">
        <v>418</v>
      </c>
      <c r="D86" s="25" t="s">
        <v>419</v>
      </c>
      <c r="E86" s="25" t="s">
        <v>408</v>
      </c>
      <c r="F86" s="25" t="s">
        <v>258</v>
      </c>
      <c r="G86" s="25" t="s">
        <v>63</v>
      </c>
      <c r="H86" s="25" t="n">
        <v>2445</v>
      </c>
      <c r="I86" s="25" t="n">
        <v>2445</v>
      </c>
      <c r="J86" s="25" t="n">
        <v>1010</v>
      </c>
      <c r="K86" s="25" t="s">
        <v>325</v>
      </c>
      <c r="L86" s="25" t="s">
        <v>391</v>
      </c>
      <c r="M86" s="25" t="s">
        <v>408</v>
      </c>
      <c r="N86" s="25" t="s">
        <v>409</v>
      </c>
      <c r="O86" s="26" t="n">
        <v>1</v>
      </c>
      <c r="P86" s="19"/>
      <c r="Q86" s="25" t="n">
        <v>1010</v>
      </c>
      <c r="R86" s="27" t="n">
        <v>1435</v>
      </c>
      <c r="S86" s="23" t="str">
        <f aca="false" t="array" ref="S86:S86">IF(SUMPRODUCT((makaralar[MAKARA NO]=serim[[#This Row],[Makara Numarası]])*(makaralar[KALAN (mt)]&lt;0))&gt;0,
    "HATA VAR",
    "")</f>
        <v/>
      </c>
      <c r="T86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86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87" customFormat="false" ht="10.25" hidden="true" customHeight="false" outlineLevel="0" collapsed="false">
      <c r="A87" s="16" t="n">
        <v>45969</v>
      </c>
      <c r="B87" s="17" t="s">
        <v>241</v>
      </c>
      <c r="C87" s="25" t="s">
        <v>410</v>
      </c>
      <c r="D87" s="25" t="s">
        <v>411</v>
      </c>
      <c r="E87" s="25" t="s">
        <v>412</v>
      </c>
      <c r="F87" s="25" t="s">
        <v>162</v>
      </c>
      <c r="G87" s="25" t="s">
        <v>48</v>
      </c>
      <c r="H87" s="25" t="n">
        <v>450</v>
      </c>
      <c r="I87" s="25" t="n">
        <v>450</v>
      </c>
      <c r="J87" s="25" t="n">
        <v>0</v>
      </c>
      <c r="K87" s="25" t="s">
        <v>412</v>
      </c>
      <c r="L87" s="25" t="s">
        <v>391</v>
      </c>
      <c r="M87" s="25" t="s">
        <v>389</v>
      </c>
      <c r="N87" s="25" t="s">
        <v>390</v>
      </c>
      <c r="O87" s="26" t="n">
        <v>1</v>
      </c>
      <c r="P87" s="19" t="s">
        <v>389</v>
      </c>
      <c r="Q87" s="25" t="n">
        <v>0</v>
      </c>
      <c r="R87" s="27" t="n">
        <v>450</v>
      </c>
      <c r="S87" s="23" t="str">
        <f aca="false" t="array" ref="S87:S87">IF(SUMPRODUCT((makaralar[MAKARA NO]=serim[[#This Row],[Makara Numarası]])*(makaralar[KALAN (mt)]&lt;0))&gt;0,
    "HATA VAR",
    "")</f>
        <v/>
      </c>
      <c r="T87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87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88" customFormat="false" ht="10.25" hidden="false" customHeight="false" outlineLevel="0" collapsed="false">
      <c r="A88" s="17" t="n">
        <v>45972</v>
      </c>
      <c r="B88" s="17" t="s">
        <v>241</v>
      </c>
      <c r="C88" s="25" t="s">
        <v>420</v>
      </c>
      <c r="D88" s="25" t="s">
        <v>421</v>
      </c>
      <c r="E88" s="25" t="s">
        <v>422</v>
      </c>
      <c r="F88" s="25" t="s">
        <v>162</v>
      </c>
      <c r="G88" s="25" t="s">
        <v>51</v>
      </c>
      <c r="H88" s="25" t="n">
        <v>1105</v>
      </c>
      <c r="I88" s="25" t="n">
        <v>1105</v>
      </c>
      <c r="J88" s="25" t="n">
        <v>800</v>
      </c>
      <c r="K88" s="25" t="s">
        <v>421</v>
      </c>
      <c r="L88" s="25" t="s">
        <v>423</v>
      </c>
      <c r="M88" s="25" t="s">
        <v>422</v>
      </c>
      <c r="N88" s="25" t="s">
        <v>424</v>
      </c>
      <c r="O88" s="26" t="n">
        <v>2</v>
      </c>
      <c r="P88" s="19"/>
      <c r="Q88" s="25" t="n">
        <v>800</v>
      </c>
      <c r="R88" s="27" t="n">
        <v>305</v>
      </c>
      <c r="S88" s="23" t="str">
        <f aca="false" t="array" ref="S88:S88">IF(SUMPRODUCT((makaralar[MAKARA NO]=serim[[#This Row],[Makara Numarası]])*(makaralar[KALAN (mt)]&lt;0))&gt;0,
    "HATA VAR",
    "")</f>
        <v/>
      </c>
      <c r="T88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88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89" customFormat="false" ht="10.25" hidden="true" customHeight="false" outlineLevel="0" collapsed="false">
      <c r="A89" s="17" t="n">
        <v>45974</v>
      </c>
      <c r="B89" s="17" t="s">
        <v>241</v>
      </c>
      <c r="C89" s="25" t="s">
        <v>425</v>
      </c>
      <c r="D89" s="25" t="s">
        <v>421</v>
      </c>
      <c r="E89" s="25" t="s">
        <v>426</v>
      </c>
      <c r="F89" s="25" t="s">
        <v>162</v>
      </c>
      <c r="G89" s="25" t="s">
        <v>51</v>
      </c>
      <c r="H89" s="25" t="n">
        <v>240</v>
      </c>
      <c r="I89" s="25" t="n">
        <v>240</v>
      </c>
      <c r="J89" s="25" t="n">
        <v>60</v>
      </c>
      <c r="K89" s="25" t="s">
        <v>421</v>
      </c>
      <c r="L89" s="25" t="s">
        <v>427</v>
      </c>
      <c r="M89" s="25" t="s">
        <v>325</v>
      </c>
      <c r="N89" s="25" t="s">
        <v>391</v>
      </c>
      <c r="O89" s="28" t="n">
        <v>1</v>
      </c>
      <c r="P89" s="19"/>
      <c r="Q89" s="25" t="n">
        <v>60</v>
      </c>
      <c r="R89" s="27" t="n">
        <v>180</v>
      </c>
      <c r="S89" s="23" t="str">
        <f aca="false" t="array" ref="S89:S89">IF(SUMPRODUCT((makaralar[MAKARA NO]=serim[[#This Row],[Makara Numarası]])*(makaralar[KALAN (mt)]&lt;0))&gt;0,
    "HATA VAR",
    "")</f>
        <v/>
      </c>
      <c r="T89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89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90" customFormat="false" ht="10.25" hidden="true" customHeight="false" outlineLevel="0" collapsed="false">
      <c r="A90" s="17" t="n">
        <v>45972</v>
      </c>
      <c r="B90" s="17" t="s">
        <v>241</v>
      </c>
      <c r="C90" s="25" t="s">
        <v>428</v>
      </c>
      <c r="D90" s="25" t="s">
        <v>429</v>
      </c>
      <c r="E90" s="25" t="s">
        <v>430</v>
      </c>
      <c r="F90" s="25" t="s">
        <v>162</v>
      </c>
      <c r="G90" s="25" t="s">
        <v>51</v>
      </c>
      <c r="H90" s="25" t="n">
        <v>800</v>
      </c>
      <c r="I90" s="25" t="n">
        <v>800</v>
      </c>
      <c r="J90" s="25" t="n">
        <v>240</v>
      </c>
      <c r="K90" s="25" t="s">
        <v>429</v>
      </c>
      <c r="L90" s="25" t="s">
        <v>431</v>
      </c>
      <c r="M90" s="25" t="s">
        <v>430</v>
      </c>
      <c r="N90" s="25" t="s">
        <v>432</v>
      </c>
      <c r="O90" s="26" t="n">
        <v>1</v>
      </c>
      <c r="P90" s="19"/>
      <c r="Q90" s="25" t="n">
        <v>240</v>
      </c>
      <c r="R90" s="27" t="n">
        <v>560</v>
      </c>
      <c r="S90" s="23" t="str">
        <f aca="false" t="array" ref="S90:S90">IF(SUMPRODUCT((makaralar[MAKARA NO]=serim[[#This Row],[Makara Numarası]])*(makaralar[KALAN (mt)]&lt;0))&gt;0,
    "HATA VAR",
    "")</f>
        <v/>
      </c>
      <c r="T90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90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91" customFormat="false" ht="10.25" hidden="true" customHeight="false" outlineLevel="0" collapsed="false">
      <c r="A91" s="29" t="n">
        <v>45973</v>
      </c>
      <c r="B91" s="17" t="s">
        <v>241</v>
      </c>
      <c r="C91" s="30" t="s">
        <v>433</v>
      </c>
      <c r="D91" s="30" t="s">
        <v>419</v>
      </c>
      <c r="E91" s="30" t="s">
        <v>434</v>
      </c>
      <c r="F91" s="30" t="s">
        <v>153</v>
      </c>
      <c r="G91" s="30" t="s">
        <v>435</v>
      </c>
      <c r="H91" s="30" t="n">
        <v>2021</v>
      </c>
      <c r="I91" s="30" t="n">
        <v>2021</v>
      </c>
      <c r="J91" s="30" t="n">
        <v>1000</v>
      </c>
      <c r="K91" s="30" t="s">
        <v>419</v>
      </c>
      <c r="L91" s="30" t="s">
        <v>436</v>
      </c>
      <c r="M91" s="30" t="s">
        <v>434</v>
      </c>
      <c r="N91" s="30" t="s">
        <v>437</v>
      </c>
      <c r="O91" s="28" t="n">
        <v>1</v>
      </c>
      <c r="P91" s="19"/>
      <c r="Q91" s="30" t="n">
        <v>1000</v>
      </c>
      <c r="R91" s="31" t="n">
        <v>1021</v>
      </c>
      <c r="S91" s="23" t="str">
        <f aca="false" t="array" ref="S91:S91">IF(SUMPRODUCT((makaralar[MAKARA NO]=serim[[#This Row],[Makara Numarası]])*(makaralar[KALAN (mt)]&lt;0))&gt;0,
    "HATA VAR",
    "")</f>
        <v/>
      </c>
      <c r="T91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>HATA VAR</v>
      </c>
      <c r="U91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>HATA VAR</v>
      </c>
    </row>
    <row r="92" customFormat="false" ht="10.25" hidden="true" customHeight="false" outlineLevel="0" collapsed="false">
      <c r="A92" s="29" t="n">
        <v>45973</v>
      </c>
      <c r="B92" s="17" t="s">
        <v>241</v>
      </c>
      <c r="C92" s="30" t="s">
        <v>433</v>
      </c>
      <c r="D92" s="30" t="s">
        <v>419</v>
      </c>
      <c r="E92" s="30" t="s">
        <v>434</v>
      </c>
      <c r="F92" s="30" t="s">
        <v>153</v>
      </c>
      <c r="G92" s="30" t="s">
        <v>438</v>
      </c>
      <c r="H92" s="30" t="n">
        <v>2023</v>
      </c>
      <c r="I92" s="30" t="n">
        <v>2023</v>
      </c>
      <c r="J92" s="30" t="n">
        <v>0</v>
      </c>
      <c r="K92" s="30" t="s">
        <v>419</v>
      </c>
      <c r="L92" s="30" t="s">
        <v>439</v>
      </c>
      <c r="M92" s="25" t="s">
        <v>426</v>
      </c>
      <c r="N92" s="25" t="s">
        <v>440</v>
      </c>
      <c r="O92" s="28" t="n">
        <v>1</v>
      </c>
      <c r="P92" s="19" t="s">
        <v>440</v>
      </c>
      <c r="Q92" s="30" t="n">
        <v>0</v>
      </c>
      <c r="R92" s="31" t="n">
        <v>2023</v>
      </c>
      <c r="S92" s="23" t="str">
        <f aca="false" t="array" ref="S92:S92">IF(SUMPRODUCT((makaralar[MAKARA NO]=serim[[#This Row],[Makara Numarası]])*(makaralar[KALAN (mt)]&lt;0))&gt;0,
    "HATA VAR",
    "")</f>
        <v/>
      </c>
      <c r="T92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>HATA VAR</v>
      </c>
      <c r="U92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>HATA VAR</v>
      </c>
    </row>
    <row r="93" customFormat="false" ht="10.25" hidden="true" customHeight="false" outlineLevel="0" collapsed="false">
      <c r="A93" s="29" t="n">
        <v>45973</v>
      </c>
      <c r="B93" s="17" t="s">
        <v>241</v>
      </c>
      <c r="C93" s="30" t="s">
        <v>433</v>
      </c>
      <c r="D93" s="30" t="s">
        <v>419</v>
      </c>
      <c r="E93" s="30" t="s">
        <v>434</v>
      </c>
      <c r="F93" s="30" t="s">
        <v>153</v>
      </c>
      <c r="G93" s="30" t="s">
        <v>39</v>
      </c>
      <c r="H93" s="30" t="n">
        <v>1945</v>
      </c>
      <c r="I93" s="30" t="n">
        <v>1945</v>
      </c>
      <c r="J93" s="30" t="n">
        <v>0</v>
      </c>
      <c r="K93" s="30" t="s">
        <v>419</v>
      </c>
      <c r="L93" s="30" t="s">
        <v>441</v>
      </c>
      <c r="M93" s="30" t="s">
        <v>434</v>
      </c>
      <c r="N93" s="25" t="s">
        <v>442</v>
      </c>
      <c r="O93" s="28" t="n">
        <v>2</v>
      </c>
      <c r="P93" s="19" t="s">
        <v>442</v>
      </c>
      <c r="Q93" s="30" t="n">
        <v>0</v>
      </c>
      <c r="R93" s="31" t="n">
        <v>1945</v>
      </c>
      <c r="S93" s="23" t="str">
        <f aca="false" t="array" ref="S93:S93">IF(SUMPRODUCT((makaralar[MAKARA NO]=serim[[#This Row],[Makara Numarası]])*(makaralar[KALAN (mt)]&lt;0))&gt;0,
    "HATA VAR",
    "")</f>
        <v/>
      </c>
      <c r="T93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93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94" customFormat="false" ht="10.25" hidden="true" customHeight="false" outlineLevel="0" collapsed="false">
      <c r="A94" s="29" t="n">
        <v>45973</v>
      </c>
      <c r="B94" s="17" t="s">
        <v>241</v>
      </c>
      <c r="C94" s="30" t="s">
        <v>443</v>
      </c>
      <c r="D94" s="30" t="s">
        <v>444</v>
      </c>
      <c r="E94" s="30"/>
      <c r="F94" s="30" t="s">
        <v>162</v>
      </c>
      <c r="G94" s="30" t="s">
        <v>31</v>
      </c>
      <c r="H94" s="30" t="n">
        <v>577</v>
      </c>
      <c r="I94" s="30" t="n">
        <v>577</v>
      </c>
      <c r="J94" s="30" t="n">
        <v>110</v>
      </c>
      <c r="K94" s="30" t="s">
        <v>444</v>
      </c>
      <c r="L94" s="30" t="s">
        <v>445</v>
      </c>
      <c r="M94" s="30" t="n">
        <v>0</v>
      </c>
      <c r="N94" s="30" t="s">
        <v>446</v>
      </c>
      <c r="O94" s="28" t="n">
        <v>1</v>
      </c>
      <c r="P94" s="32"/>
      <c r="Q94" s="30" t="n">
        <v>110</v>
      </c>
      <c r="R94" s="31" t="n">
        <v>467</v>
      </c>
      <c r="S94" s="23" t="str">
        <f aca="false" t="array" ref="S94:S94">IF(SUMPRODUCT((makaralar[MAKARA NO]=serim[[#This Row],[Makara Numarası]])*(makaralar[KALAN (mt)]&lt;0))&gt;0,
    "HATA VAR",
    "")</f>
        <v/>
      </c>
      <c r="T94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94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95" customFormat="false" ht="10.25" hidden="true" customHeight="false" outlineLevel="0" collapsed="false">
      <c r="A95" s="17" t="n">
        <v>45972</v>
      </c>
      <c r="B95" s="17" t="s">
        <v>241</v>
      </c>
      <c r="C95" s="25" t="s">
        <v>447</v>
      </c>
      <c r="D95" s="25" t="s">
        <v>430</v>
      </c>
      <c r="E95" s="25" t="s">
        <v>448</v>
      </c>
      <c r="F95" s="25" t="s">
        <v>162</v>
      </c>
      <c r="G95" s="25" t="s">
        <v>49</v>
      </c>
      <c r="H95" s="25" t="n">
        <v>4100</v>
      </c>
      <c r="I95" s="25" t="n">
        <v>4100</v>
      </c>
      <c r="J95" s="25" t="n">
        <v>2870</v>
      </c>
      <c r="K95" s="25" t="s">
        <v>430</v>
      </c>
      <c r="L95" s="25" t="s">
        <v>432</v>
      </c>
      <c r="M95" s="25" t="s">
        <v>448</v>
      </c>
      <c r="N95" s="25" t="s">
        <v>449</v>
      </c>
      <c r="O95" s="26" t="n">
        <v>1</v>
      </c>
      <c r="P95" s="19" t="s">
        <v>450</v>
      </c>
      <c r="Q95" s="25" t="n">
        <v>2870</v>
      </c>
      <c r="R95" s="27" t="n">
        <v>1230</v>
      </c>
      <c r="S95" s="23" t="str">
        <f aca="false" t="array" ref="S95:S95">IF(SUMPRODUCT((makaralar[MAKARA NO]=serim[[#This Row],[Makara Numarası]])*(makaralar[KALAN (mt)]&lt;0))&gt;0,
    "HATA VAR",
    "")</f>
        <v/>
      </c>
      <c r="T95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95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96" customFormat="false" ht="10.25" hidden="true" customHeight="false" outlineLevel="0" collapsed="false">
      <c r="A96" s="29" t="n">
        <v>45973</v>
      </c>
      <c r="B96" s="17" t="s">
        <v>241</v>
      </c>
      <c r="C96" s="30" t="s">
        <v>451</v>
      </c>
      <c r="D96" s="30" t="s">
        <v>448</v>
      </c>
      <c r="E96" s="30" t="s">
        <v>452</v>
      </c>
      <c r="F96" s="30" t="s">
        <v>162</v>
      </c>
      <c r="G96" s="30" t="s">
        <v>49</v>
      </c>
      <c r="H96" s="30" t="n">
        <v>2343</v>
      </c>
      <c r="I96" s="30" t="n">
        <v>2343</v>
      </c>
      <c r="J96" s="30" t="n">
        <v>523</v>
      </c>
      <c r="K96" s="30" t="s">
        <v>448</v>
      </c>
      <c r="L96" s="30" t="s">
        <v>449</v>
      </c>
      <c r="M96" s="30" t="s">
        <v>452</v>
      </c>
      <c r="N96" s="30" t="s">
        <v>453</v>
      </c>
      <c r="O96" s="28" t="n">
        <v>1</v>
      </c>
      <c r="P96" s="32"/>
      <c r="Q96" s="30" t="n">
        <v>523</v>
      </c>
      <c r="R96" s="31" t="n">
        <v>1820</v>
      </c>
      <c r="S96" s="23" t="str">
        <f aca="false" t="array" ref="S96:S96">IF(SUMPRODUCT((makaralar[MAKARA NO]=serim[[#This Row],[Makara Numarası]])*(makaralar[KALAN (mt)]&lt;0))&gt;0,
    "HATA VAR",
    "")</f>
        <v/>
      </c>
      <c r="T96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96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97" customFormat="false" ht="10.25" hidden="true" customHeight="false" outlineLevel="0" collapsed="false">
      <c r="A97" s="29" t="n">
        <v>45973</v>
      </c>
      <c r="B97" s="17" t="s">
        <v>241</v>
      </c>
      <c r="C97" s="30" t="s">
        <v>454</v>
      </c>
      <c r="D97" s="30" t="s">
        <v>452</v>
      </c>
      <c r="E97" s="30" t="s">
        <v>455</v>
      </c>
      <c r="F97" s="30" t="s">
        <v>162</v>
      </c>
      <c r="G97" s="30" t="s">
        <v>49</v>
      </c>
      <c r="H97" s="30" t="n">
        <v>2870</v>
      </c>
      <c r="I97" s="30" t="n">
        <v>2870</v>
      </c>
      <c r="J97" s="30" t="n">
        <v>2343</v>
      </c>
      <c r="K97" s="30" t="s">
        <v>452</v>
      </c>
      <c r="L97" s="30" t="s">
        <v>453</v>
      </c>
      <c r="M97" s="30" t="s">
        <v>455</v>
      </c>
      <c r="N97" s="30" t="s">
        <v>456</v>
      </c>
      <c r="O97" s="28" t="n">
        <v>1</v>
      </c>
      <c r="P97" s="32"/>
      <c r="Q97" s="30" t="n">
        <v>2343</v>
      </c>
      <c r="R97" s="31" t="n">
        <v>527</v>
      </c>
      <c r="S97" s="23" t="str">
        <f aca="false" t="array" ref="S97:S97">IF(SUMPRODUCT((makaralar[MAKARA NO]=serim[[#This Row],[Makara Numarası]])*(makaralar[KALAN (mt)]&lt;0))&gt;0,
    "HATA VAR",
    "")</f>
        <v/>
      </c>
      <c r="T97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97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98" customFormat="false" ht="10.25" hidden="true" customHeight="false" outlineLevel="0" collapsed="false">
      <c r="A98" s="29" t="n">
        <v>45973</v>
      </c>
      <c r="B98" s="17" t="s">
        <v>241</v>
      </c>
      <c r="C98" s="30" t="s">
        <v>433</v>
      </c>
      <c r="D98" s="30" t="s">
        <v>419</v>
      </c>
      <c r="E98" s="30" t="s">
        <v>434</v>
      </c>
      <c r="F98" s="30" t="s">
        <v>153</v>
      </c>
      <c r="G98" s="30" t="s">
        <v>32</v>
      </c>
      <c r="H98" s="30" t="n">
        <v>2019</v>
      </c>
      <c r="I98" s="30" t="n">
        <v>2019</v>
      </c>
      <c r="J98" s="30" t="n">
        <v>0</v>
      </c>
      <c r="K98" s="30" t="s">
        <v>419</v>
      </c>
      <c r="L98" s="30" t="s">
        <v>457</v>
      </c>
      <c r="M98" s="25" t="s">
        <v>426</v>
      </c>
      <c r="N98" s="25" t="s">
        <v>458</v>
      </c>
      <c r="O98" s="28" t="n">
        <v>2</v>
      </c>
      <c r="P98" s="19" t="s">
        <v>458</v>
      </c>
      <c r="Q98" s="30" t="n">
        <v>0</v>
      </c>
      <c r="R98" s="31" t="n">
        <v>2019</v>
      </c>
      <c r="S98" s="23" t="str">
        <f aca="false" t="array" ref="S98:S98">IF(SUMPRODUCT((makaralar[MAKARA NO]=serim[[#This Row],[Makara Numarası]])*(makaralar[KALAN (mt)]&lt;0))&gt;0,
    "HATA VAR",
    "")</f>
        <v/>
      </c>
      <c r="T98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98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99" customFormat="false" ht="10.25" hidden="true" customHeight="false" outlineLevel="0" collapsed="false">
      <c r="A99" s="29" t="n">
        <v>45973</v>
      </c>
      <c r="B99" s="17" t="s">
        <v>241</v>
      </c>
      <c r="C99" s="30" t="s">
        <v>433</v>
      </c>
      <c r="D99" s="30" t="s">
        <v>419</v>
      </c>
      <c r="E99" s="30" t="s">
        <v>434</v>
      </c>
      <c r="F99" s="30" t="s">
        <v>153</v>
      </c>
      <c r="G99" s="30" t="s">
        <v>34</v>
      </c>
      <c r="H99" s="30" t="n">
        <v>2024</v>
      </c>
      <c r="I99" s="30" t="n">
        <v>2024</v>
      </c>
      <c r="J99" s="30" t="n">
        <v>0</v>
      </c>
      <c r="K99" s="30" t="s">
        <v>419</v>
      </c>
      <c r="L99" s="30" t="s">
        <v>441</v>
      </c>
      <c r="M99" s="30" t="s">
        <v>434</v>
      </c>
      <c r="N99" s="25" t="s">
        <v>459</v>
      </c>
      <c r="O99" s="28" t="n">
        <v>1</v>
      </c>
      <c r="P99" s="19" t="s">
        <v>459</v>
      </c>
      <c r="Q99" s="30" t="n">
        <v>0</v>
      </c>
      <c r="R99" s="31" t="n">
        <v>2024</v>
      </c>
      <c r="S99" s="23" t="str">
        <f aca="false" t="array" ref="S99:S99">IF(SUMPRODUCT((makaralar[MAKARA NO]=serim[[#This Row],[Makara Numarası]])*(makaralar[KALAN (mt)]&lt;0))&gt;0,
    "HATA VAR",
    "")</f>
        <v/>
      </c>
      <c r="T99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99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100" customFormat="false" ht="10.25" hidden="false" customHeight="false" outlineLevel="0" collapsed="false">
      <c r="A100" s="29" t="n">
        <v>45973</v>
      </c>
      <c r="B100" s="17" t="s">
        <v>241</v>
      </c>
      <c r="C100" s="30" t="s">
        <v>460</v>
      </c>
      <c r="D100" s="30" t="s">
        <v>422</v>
      </c>
      <c r="E100" s="30" t="s">
        <v>461</v>
      </c>
      <c r="F100" s="30" t="s">
        <v>162</v>
      </c>
      <c r="G100" s="30" t="s">
        <v>31</v>
      </c>
      <c r="H100" s="30" t="n">
        <v>4115</v>
      </c>
      <c r="I100" s="30" t="n">
        <v>4115</v>
      </c>
      <c r="J100" s="30" t="n">
        <v>1180</v>
      </c>
      <c r="K100" s="30" t="s">
        <v>422</v>
      </c>
      <c r="L100" s="30" t="s">
        <v>424</v>
      </c>
      <c r="M100" s="30" t="s">
        <v>461</v>
      </c>
      <c r="N100" s="30" t="s">
        <v>462</v>
      </c>
      <c r="O100" s="28" t="n">
        <v>2</v>
      </c>
      <c r="P100" s="32"/>
      <c r="Q100" s="30" t="n">
        <v>1180</v>
      </c>
      <c r="R100" s="31" t="n">
        <v>2935</v>
      </c>
      <c r="S100" s="23" t="str">
        <f aca="false" t="array" ref="S100:S100">IF(SUMPRODUCT((makaralar[MAKARA NO]=serim[[#This Row],[Makara Numarası]])*(makaralar[KALAN (mt)]&lt;0))&gt;0,
    "HATA VAR",
    "")</f>
        <v/>
      </c>
      <c r="T100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100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101" customFormat="false" ht="10.25" hidden="false" customHeight="false" outlineLevel="0" collapsed="false">
      <c r="A101" s="29" t="n">
        <v>45973</v>
      </c>
      <c r="B101" s="17" t="s">
        <v>241</v>
      </c>
      <c r="C101" s="30" t="s">
        <v>463</v>
      </c>
      <c r="D101" s="30" t="s">
        <v>461</v>
      </c>
      <c r="E101" s="30" t="s">
        <v>464</v>
      </c>
      <c r="F101" s="30" t="s">
        <v>162</v>
      </c>
      <c r="G101" s="30" t="s">
        <v>31</v>
      </c>
      <c r="H101" s="30" t="n">
        <v>1180</v>
      </c>
      <c r="I101" s="30" t="n">
        <v>1180</v>
      </c>
      <c r="J101" s="30" t="n">
        <v>577</v>
      </c>
      <c r="K101" s="30" t="s">
        <v>461</v>
      </c>
      <c r="L101" s="30" t="s">
        <v>462</v>
      </c>
      <c r="M101" s="30" t="s">
        <v>464</v>
      </c>
      <c r="N101" s="30" t="s">
        <v>465</v>
      </c>
      <c r="O101" s="28" t="n">
        <v>2</v>
      </c>
      <c r="P101" s="32"/>
      <c r="Q101" s="30" t="n">
        <v>577</v>
      </c>
      <c r="R101" s="31" t="n">
        <v>603</v>
      </c>
      <c r="S101" s="23" t="str">
        <f aca="false" t="array" ref="S101:S101">IF(SUMPRODUCT((makaralar[MAKARA NO]=serim[[#This Row],[Makara Numarası]])*(makaralar[KALAN (mt)]&lt;0))&gt;0,
    "HATA VAR",
    "")</f>
        <v/>
      </c>
      <c r="T101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101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102" customFormat="false" ht="10.25" hidden="true" customHeight="false" outlineLevel="0" collapsed="false">
      <c r="A102" s="29" t="n">
        <v>45973</v>
      </c>
      <c r="B102" s="17" t="s">
        <v>241</v>
      </c>
      <c r="C102" s="30" t="s">
        <v>466</v>
      </c>
      <c r="D102" s="30" t="s">
        <v>455</v>
      </c>
      <c r="E102" s="30" t="s">
        <v>467</v>
      </c>
      <c r="F102" s="30" t="s">
        <v>162</v>
      </c>
      <c r="G102" s="30" t="s">
        <v>49</v>
      </c>
      <c r="H102" s="30" t="n">
        <v>523</v>
      </c>
      <c r="I102" s="30" t="n">
        <v>523</v>
      </c>
      <c r="J102" s="30" t="n">
        <v>150</v>
      </c>
      <c r="K102" s="30" t="s">
        <v>455</v>
      </c>
      <c r="L102" s="30" t="s">
        <v>456</v>
      </c>
      <c r="M102" s="30" t="s">
        <v>467</v>
      </c>
      <c r="N102" s="30" t="s">
        <v>468</v>
      </c>
      <c r="O102" s="28" t="n">
        <v>1</v>
      </c>
      <c r="P102" s="32"/>
      <c r="Q102" s="30" t="n">
        <v>150</v>
      </c>
      <c r="R102" s="31" t="n">
        <v>373</v>
      </c>
      <c r="S102" s="23" t="str">
        <f aca="false" t="array" ref="S102:S102">IF(SUMPRODUCT((makaralar[MAKARA NO]=serim[[#This Row],[Makara Numarası]])*(makaralar[KALAN (mt)]&lt;0))&gt;0,
    "HATA VAR",
    "")</f>
        <v/>
      </c>
      <c r="T102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102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103" customFormat="false" ht="10.25" hidden="false" customHeight="false" outlineLevel="0" collapsed="false">
      <c r="A103" s="17" t="n">
        <v>45974</v>
      </c>
      <c r="B103" s="17" t="s">
        <v>241</v>
      </c>
      <c r="C103" s="25" t="s">
        <v>469</v>
      </c>
      <c r="D103" s="25" t="s">
        <v>464</v>
      </c>
      <c r="E103" s="25" t="s">
        <v>247</v>
      </c>
      <c r="F103" s="25" t="s">
        <v>162</v>
      </c>
      <c r="G103" s="25" t="s">
        <v>470</v>
      </c>
      <c r="H103" s="25" t="n">
        <v>4133</v>
      </c>
      <c r="I103" s="25" t="n">
        <v>4133</v>
      </c>
      <c r="J103" s="25" t="n">
        <v>3015</v>
      </c>
      <c r="K103" s="25" t="s">
        <v>464</v>
      </c>
      <c r="L103" s="25" t="s">
        <v>465</v>
      </c>
      <c r="M103" s="25" t="s">
        <v>247</v>
      </c>
      <c r="N103" s="25" t="s">
        <v>441</v>
      </c>
      <c r="O103" s="28" t="n">
        <v>2</v>
      </c>
      <c r="P103" s="19" t="s">
        <v>441</v>
      </c>
      <c r="Q103" s="25" t="n">
        <v>3015</v>
      </c>
      <c r="R103" s="27" t="n">
        <v>1118</v>
      </c>
      <c r="S103" s="23" t="str">
        <f aca="false" t="array" ref="S103:S103">IF(SUMPRODUCT((makaralar[MAKARA NO]=serim[[#This Row],[Makara Numarası]])*(makaralar[KALAN (mt)]&lt;0))&gt;0,
    "HATA VAR",
    "")</f>
        <v/>
      </c>
      <c r="T103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>HATA VAR</v>
      </c>
      <c r="U103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>HATA VAR</v>
      </c>
    </row>
    <row r="104" customFormat="false" ht="10.25" hidden="true" customHeight="false" outlineLevel="0" collapsed="false">
      <c r="A104" s="17" t="n">
        <v>45974</v>
      </c>
      <c r="B104" s="17" t="s">
        <v>471</v>
      </c>
      <c r="C104" s="25" t="s">
        <v>433</v>
      </c>
      <c r="D104" s="25" t="s">
        <v>325</v>
      </c>
      <c r="E104" s="25" t="s">
        <v>426</v>
      </c>
      <c r="F104" s="25" t="s">
        <v>153</v>
      </c>
      <c r="G104" s="25" t="s">
        <v>35</v>
      </c>
      <c r="H104" s="25" t="n">
        <v>2045</v>
      </c>
      <c r="I104" s="25" t="n">
        <v>2045</v>
      </c>
      <c r="J104" s="25" t="n">
        <v>1000</v>
      </c>
      <c r="K104" s="25" t="s">
        <v>419</v>
      </c>
      <c r="L104" s="25" t="s">
        <v>472</v>
      </c>
      <c r="M104" s="25" t="s">
        <v>434</v>
      </c>
      <c r="N104" s="25" t="s">
        <v>473</v>
      </c>
      <c r="O104" s="28" t="n">
        <v>2</v>
      </c>
      <c r="P104" s="19"/>
      <c r="Q104" s="25" t="n">
        <v>1000</v>
      </c>
      <c r="R104" s="27" t="n">
        <v>1045</v>
      </c>
      <c r="S104" s="23" t="str">
        <f aca="false" t="array" ref="S104:S104">IF(SUMPRODUCT((makaralar[MAKARA NO]=serim[[#This Row],[Makara Numarası]])*(makaralar[KALAN (mt)]&lt;0))&gt;0,
    "HATA VAR",
    "")</f>
        <v/>
      </c>
      <c r="T104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104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105" customFormat="false" ht="10.25" hidden="true" customHeight="false" outlineLevel="0" collapsed="false">
      <c r="A105" s="29" t="n">
        <v>45973</v>
      </c>
      <c r="B105" s="17" t="s">
        <v>241</v>
      </c>
      <c r="C105" s="30" t="s">
        <v>474</v>
      </c>
      <c r="D105" s="30" t="s">
        <v>467</v>
      </c>
      <c r="E105" s="30" t="s">
        <v>475</v>
      </c>
      <c r="F105" s="30" t="s">
        <v>162</v>
      </c>
      <c r="G105" s="30" t="s">
        <v>49</v>
      </c>
      <c r="H105" s="30" t="n">
        <v>150</v>
      </c>
      <c r="I105" s="30" t="n">
        <v>150</v>
      </c>
      <c r="J105" s="30" t="n">
        <v>0</v>
      </c>
      <c r="K105" s="30" t="s">
        <v>467</v>
      </c>
      <c r="L105" s="30" t="s">
        <v>476</v>
      </c>
      <c r="M105" s="30" t="s">
        <v>475</v>
      </c>
      <c r="N105" s="30" t="s">
        <v>468</v>
      </c>
      <c r="O105" s="28" t="n">
        <v>1</v>
      </c>
      <c r="P105" s="32"/>
      <c r="Q105" s="30" t="n">
        <v>0</v>
      </c>
      <c r="R105" s="31" t="n">
        <v>150</v>
      </c>
      <c r="S105" s="23" t="str">
        <f aca="false" t="array" ref="S105:S105">IF(SUMPRODUCT((makaralar[MAKARA NO]=serim[[#This Row],[Makara Numarası]])*(makaralar[KALAN (mt)]&lt;0))&gt;0,
    "HATA VAR",
    "")</f>
        <v/>
      </c>
      <c r="T105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105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106" customFormat="false" ht="10.25" hidden="false" customHeight="false" outlineLevel="0" collapsed="false">
      <c r="A106" s="17" t="n">
        <v>45975</v>
      </c>
      <c r="B106" s="17" t="s">
        <v>471</v>
      </c>
      <c r="C106" s="18" t="s">
        <v>477</v>
      </c>
      <c r="D106" s="18" t="s">
        <v>464</v>
      </c>
      <c r="E106" s="18" t="s">
        <v>426</v>
      </c>
      <c r="F106" s="18" t="s">
        <v>258</v>
      </c>
      <c r="G106" s="19" t="s">
        <v>66</v>
      </c>
      <c r="H106" s="25" t="n">
        <v>3005</v>
      </c>
      <c r="I106" s="25" t="n">
        <v>3005</v>
      </c>
      <c r="J106" s="25" t="n">
        <v>400</v>
      </c>
      <c r="K106" s="25" t="s">
        <v>464</v>
      </c>
      <c r="L106" s="25" t="s">
        <v>441</v>
      </c>
      <c r="M106" s="25" t="s">
        <v>426</v>
      </c>
      <c r="N106" s="25" t="s">
        <v>478</v>
      </c>
      <c r="O106" s="26" t="n">
        <v>2</v>
      </c>
      <c r="P106" s="19" t="s">
        <v>478</v>
      </c>
      <c r="Q106" s="25" t="n">
        <v>400</v>
      </c>
      <c r="R106" s="27" t="n">
        <v>2605</v>
      </c>
      <c r="S106" s="23" t="str">
        <f aca="false" t="array" ref="S106:S106">IF(SUMPRODUCT((makaralar[MAKARA NO]=serim[[#This Row],[Makara Numarası]])*(makaralar[KALAN (mt)]&lt;0))&gt;0,
    "HATA VAR",
    "")</f>
        <v/>
      </c>
      <c r="T106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106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107" customFormat="false" ht="10.25" hidden="true" customHeight="false" outlineLevel="0" collapsed="false">
      <c r="A107" s="33" t="n">
        <v>45980</v>
      </c>
      <c r="B107" s="34" t="s">
        <v>471</v>
      </c>
      <c r="C107" s="35" t="s">
        <v>479</v>
      </c>
      <c r="D107" s="35" t="s">
        <v>321</v>
      </c>
      <c r="E107" s="35" t="s">
        <v>480</v>
      </c>
      <c r="F107" s="35" t="s">
        <v>258</v>
      </c>
      <c r="G107" s="35" t="s">
        <v>64</v>
      </c>
      <c r="H107" s="35" t="n">
        <v>316</v>
      </c>
      <c r="I107" s="35" t="n">
        <v>316</v>
      </c>
      <c r="J107" s="35" t="n">
        <v>180</v>
      </c>
      <c r="K107" s="35" t="s">
        <v>321</v>
      </c>
      <c r="L107" s="35" t="s">
        <v>481</v>
      </c>
      <c r="M107" s="35" t="s">
        <v>480</v>
      </c>
      <c r="N107" s="35" t="s">
        <v>482</v>
      </c>
      <c r="O107" s="28" t="n">
        <v>1</v>
      </c>
      <c r="P107" s="36"/>
      <c r="Q107" s="35" t="n">
        <v>180</v>
      </c>
      <c r="R107" s="37" t="n">
        <v>136</v>
      </c>
      <c r="S107" s="38" t="str">
        <f aca="false" t="array" ref="S107:S107">IF(SUMPRODUCT((makaralar[MAKARA NO]=serim[[#This Row],[Makara Numarası]])*(makaralar[KALAN (mt)]&lt;0))&gt;0,
    "HATA VAR",
    "")</f>
        <v/>
      </c>
      <c r="T107" s="39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107" s="39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108" customFormat="false" ht="10.25" hidden="true" customHeight="false" outlineLevel="0" collapsed="false">
      <c r="A108" s="10" t="n">
        <v>45980</v>
      </c>
      <c r="B108" s="17" t="s">
        <v>471</v>
      </c>
      <c r="C108" s="25" t="s">
        <v>483</v>
      </c>
      <c r="D108" s="25" t="s">
        <v>484</v>
      </c>
      <c r="E108" s="25" t="s">
        <v>485</v>
      </c>
      <c r="F108" s="25" t="s">
        <v>246</v>
      </c>
      <c r="G108" s="25" t="s">
        <v>58</v>
      </c>
      <c r="H108" s="25" t="n">
        <v>650</v>
      </c>
      <c r="I108" s="25" t="n">
        <v>650</v>
      </c>
      <c r="J108" s="25" t="n">
        <v>0</v>
      </c>
      <c r="K108" s="25" t="s">
        <v>484</v>
      </c>
      <c r="L108" s="25" t="s">
        <v>441</v>
      </c>
      <c r="M108" s="25" t="s">
        <v>485</v>
      </c>
      <c r="N108" s="25" t="s">
        <v>486</v>
      </c>
      <c r="O108" s="28" t="n">
        <v>1</v>
      </c>
      <c r="P108" s="19" t="s">
        <v>486</v>
      </c>
      <c r="Q108" s="25" t="n">
        <v>0</v>
      </c>
      <c r="R108" s="27" t="n">
        <v>650</v>
      </c>
      <c r="S108" s="23" t="str">
        <f aca="false" t="array" ref="S108:S108">IF(SUMPRODUCT((makaralar[MAKARA NO]=serim[[#This Row],[Makara Numarası]])*(makaralar[KALAN (mt)]&lt;0))&gt;0,
    "HATA VAR",
    "")</f>
        <v/>
      </c>
      <c r="T108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108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109" customFormat="false" ht="10.25" hidden="true" customHeight="false" outlineLevel="0" collapsed="false">
      <c r="A109" s="10" t="n">
        <v>45980</v>
      </c>
      <c r="B109" s="17" t="s">
        <v>471</v>
      </c>
      <c r="C109" s="25" t="s">
        <v>483</v>
      </c>
      <c r="D109" s="25" t="s">
        <v>484</v>
      </c>
      <c r="E109" s="25" t="s">
        <v>487</v>
      </c>
      <c r="F109" s="25" t="s">
        <v>246</v>
      </c>
      <c r="G109" s="25" t="s">
        <v>67</v>
      </c>
      <c r="H109" s="25" t="n">
        <v>643</v>
      </c>
      <c r="I109" s="25" t="n">
        <v>643</v>
      </c>
      <c r="J109" s="25" t="n">
        <v>0</v>
      </c>
      <c r="K109" s="25" t="s">
        <v>484</v>
      </c>
      <c r="L109" s="25" t="s">
        <v>441</v>
      </c>
      <c r="M109" s="25" t="s">
        <v>487</v>
      </c>
      <c r="N109" s="25" t="s">
        <v>488</v>
      </c>
      <c r="O109" s="28" t="n">
        <v>2</v>
      </c>
      <c r="P109" s="19" t="s">
        <v>488</v>
      </c>
      <c r="Q109" s="25" t="n">
        <v>0</v>
      </c>
      <c r="R109" s="27" t="n">
        <v>643</v>
      </c>
      <c r="S109" s="23" t="str">
        <f aca="false" t="array" ref="S109:S109">IF(SUMPRODUCT((makaralar[MAKARA NO]=serim[[#This Row],[Makara Numarası]])*(makaralar[KALAN (mt)]&lt;0))&gt;0,
    "HATA VAR",
    "")</f>
        <v/>
      </c>
      <c r="T109" s="24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109" s="24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  <row r="110" customFormat="false" ht="10.25" hidden="true" customHeight="false" outlineLevel="0" collapsed="false">
      <c r="A110" s="33" t="n">
        <v>45980</v>
      </c>
      <c r="B110" s="34" t="s">
        <v>471</v>
      </c>
      <c r="C110" s="35" t="s">
        <v>489</v>
      </c>
      <c r="D110" s="35" t="s">
        <v>304</v>
      </c>
      <c r="E110" s="35" t="s">
        <v>490</v>
      </c>
      <c r="F110" s="35" t="s">
        <v>162</v>
      </c>
      <c r="G110" s="35" t="s">
        <v>66</v>
      </c>
      <c r="H110" s="35" t="n">
        <v>400</v>
      </c>
      <c r="I110" s="35" t="n">
        <v>400</v>
      </c>
      <c r="J110" s="35" t="n">
        <v>85</v>
      </c>
      <c r="K110" s="35" t="s">
        <v>304</v>
      </c>
      <c r="L110" s="35" t="s">
        <v>491</v>
      </c>
      <c r="M110" s="35" t="s">
        <v>490</v>
      </c>
      <c r="N110" s="35" t="s">
        <v>492</v>
      </c>
      <c r="O110" s="28" t="n">
        <v>1</v>
      </c>
      <c r="P110" s="36"/>
      <c r="Q110" s="35" t="n">
        <v>85</v>
      </c>
      <c r="R110" s="37" t="n">
        <v>315</v>
      </c>
      <c r="S110" s="38" t="str">
        <f aca="false" t="array" ref="S110:S110">IF(SUMPRODUCT((makaralar[MAKARA NO]=serim[[#This Row],[Makara Numarası]])*(makaralar[KALAN (mt)]&lt;0))&gt;0,
    "HATA VAR",
    "")</f>
        <v/>
      </c>
      <c r="T110" s="39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110" s="39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>HATA VAR</v>
      </c>
    </row>
    <row r="111" customFormat="false" ht="10.25" hidden="true" customHeight="false" outlineLevel="0" collapsed="false">
      <c r="A111" s="33" t="n">
        <v>45980</v>
      </c>
      <c r="B111" s="34" t="s">
        <v>471</v>
      </c>
      <c r="C111" s="35" t="s">
        <v>493</v>
      </c>
      <c r="D111" s="35" t="s">
        <v>485</v>
      </c>
      <c r="E111" s="35" t="s">
        <v>494</v>
      </c>
      <c r="F111" s="35" t="s">
        <v>258</v>
      </c>
      <c r="G111" s="35" t="s">
        <v>64</v>
      </c>
      <c r="H111" s="35" t="n">
        <v>180</v>
      </c>
      <c r="I111" s="35" t="n">
        <v>180</v>
      </c>
      <c r="J111" s="35" t="n">
        <v>50</v>
      </c>
      <c r="K111" s="35" t="s">
        <v>485</v>
      </c>
      <c r="L111" s="35" t="s">
        <v>495</v>
      </c>
      <c r="M111" s="35" t="s">
        <v>494</v>
      </c>
      <c r="N111" s="35" t="s">
        <v>496</v>
      </c>
      <c r="O111" s="28" t="n">
        <v>1</v>
      </c>
      <c r="P111" s="36"/>
      <c r="Q111" s="35" t="n">
        <v>50</v>
      </c>
      <c r="R111" s="37" t="n">
        <v>130</v>
      </c>
      <c r="S111" s="38" t="str">
        <f aca="false" t="array" ref="S111:S111">IF(SUMPRODUCT((makaralar[MAKARA NO]=serim[[#This Row],[Makara Numarası]])*(makaralar[KALAN (mt)]&lt;0))&gt;0,
    "HATA VAR",
    "")</f>
        <v/>
      </c>
      <c r="T111" s="39" t="str">
        <f aca="false">IFERROR(
   IF(
      --LEFT(serim[[#This Row],[Kablo Tipi]],FIND(" ",serim[[#This Row],[Kablo Tipi]])-1)
      &lt;&gt;
      INDEX(makaralar[CORE],
            MATCH(serim[[#This Row],[Makara Numarası]], makaralar[MAKARA NO], 0)
      ),
      "HATA VAR",
      ""
   ),
"HATA VAR")</f>
        <v/>
      </c>
      <c r="U111" s="39" t="str">
        <f aca="false">IFERROR(
   IF(
      IFERROR(FIND("(H)",serim[[#This Row],[Kablo Tipi]]),0)&gt;0
      &lt;&gt;
      (INDEX(makaralar[KABLO CİNSİ],
             MATCH(serim[[#This Row],[Makara Numarası]],makaralar[MAKARA NO],0)
       )="A-DQ"),
      "HATA VAR",
      ""
   ),
"HATA VAR")</f>
        <v/>
      </c>
    </row>
  </sheetData>
  <conditionalFormatting sqref="S2:U111">
    <cfRule type="containsText" priority="2" operator="containsText" aboveAverage="0" equalAverage="0" bottom="0" percent="0" rank="0" text="HATA VAR" dxfId="8">
      <formula>NOT(ISERROR(SEARCH("HATA VAR",S2)))</formula>
    </cfRule>
  </conditionalFormatting>
  <printOptions headings="false" gridLines="false" gridLinesSet="true" horizontalCentered="false" verticalCentered="false"/>
  <pageMargins left="0.7" right="0.7" top="0.75" bottom="0.75" header="0.3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&amp;L&amp;"Aptos,Regular"&amp;10&amp;Kff0000 Çok Gizli (Top Secret)&amp;1#_x005F_x000D_</oddHeader>
    <oddFooter>&amp;L_x005F_x000D_&amp;1#&amp;"Aptos,Regular"&amp;10&amp;Kff0000 Çok Gizli (Top Secret)</oddFooter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F10" activeCellId="0" sqref="F10"/>
    </sheetView>
  </sheetViews>
  <sheetFormatPr defaultColWidth="8.88671875" defaultRowHeight="14.25" customHeight="true" zeroHeight="false" outlineLevelRow="0" outlineLevelCol="0"/>
  <cols>
    <col collapsed="false" customWidth="true" hidden="false" outlineLevel="0" max="1" min="1" style="1" width="13.88"/>
    <col collapsed="false" customWidth="true" hidden="false" outlineLevel="0" max="2" min="2" style="1" width="7"/>
    <col collapsed="false" customWidth="true" hidden="false" outlineLevel="0" max="3" min="3" style="1" width="14.79"/>
    <col collapsed="false" customWidth="true" hidden="false" outlineLevel="0" max="4" min="4" style="1" width="16"/>
    <col collapsed="false" customWidth="true" hidden="false" outlineLevel="0" max="5" min="5" style="1" width="13.88"/>
    <col collapsed="false" customWidth="true" hidden="false" outlineLevel="0" max="6" min="6" style="1" width="15.11"/>
    <col collapsed="false" customWidth="true" hidden="false" outlineLevel="0" max="7" min="7" style="1" width="11.67"/>
    <col collapsed="false" customWidth="true" hidden="false" outlineLevel="0" max="8" min="8" style="1" width="7.56"/>
    <col collapsed="false" customWidth="false" hidden="false" outlineLevel="0" max="16384" min="9" style="1" width="8.88"/>
  </cols>
  <sheetData>
    <row r="1" customFormat="false" ht="14.25" hidden="false" customHeight="false" outlineLevel="0" collapsed="false">
      <c r="A1" s="1" t="s">
        <v>497</v>
      </c>
      <c r="B1" s="1" t="s">
        <v>498</v>
      </c>
      <c r="C1" s="1" t="s">
        <v>499</v>
      </c>
      <c r="D1" s="1" t="s">
        <v>500</v>
      </c>
      <c r="E1" s="1" t="s">
        <v>501</v>
      </c>
      <c r="F1" s="1" t="s">
        <v>502</v>
      </c>
    </row>
    <row r="2" customFormat="false" ht="14.25" hidden="false" customHeight="false" outlineLevel="0" collapsed="false">
      <c r="A2" s="1" t="s">
        <v>503</v>
      </c>
      <c r="B2" s="1" t="s">
        <v>183</v>
      </c>
      <c r="C2" s="1" t="s">
        <v>504</v>
      </c>
      <c r="D2" s="1" t="s">
        <v>504</v>
      </c>
      <c r="E2" s="1" t="s">
        <v>153</v>
      </c>
      <c r="F2" s="1" t="s">
        <v>44</v>
      </c>
    </row>
    <row r="3" customFormat="false" ht="14.25" hidden="false" customHeight="false" outlineLevel="0" collapsed="false">
      <c r="A3" s="1" t="s">
        <v>503</v>
      </c>
      <c r="B3" s="1" t="s">
        <v>181</v>
      </c>
      <c r="C3" s="1" t="s">
        <v>153</v>
      </c>
      <c r="D3" s="1" t="s">
        <v>44</v>
      </c>
      <c r="E3" s="1" t="s">
        <v>153</v>
      </c>
      <c r="F3" s="1" t="s">
        <v>38</v>
      </c>
    </row>
    <row r="4" customFormat="false" ht="14.25" hidden="false" customHeight="false" outlineLevel="0" collapsed="false">
      <c r="A4" s="1" t="s">
        <v>503</v>
      </c>
      <c r="B4" s="1" t="s">
        <v>204</v>
      </c>
      <c r="C4" s="1" t="s">
        <v>153</v>
      </c>
      <c r="D4" s="1" t="s">
        <v>38</v>
      </c>
      <c r="E4" s="1" t="s">
        <v>153</v>
      </c>
      <c r="F4" s="1" t="s">
        <v>28</v>
      </c>
    </row>
    <row r="5" customFormat="false" ht="14.25" hidden="false" customHeight="false" outlineLevel="0" collapsed="false">
      <c r="A5" s="1" t="s">
        <v>505</v>
      </c>
      <c r="B5" s="1" t="s">
        <v>227</v>
      </c>
      <c r="C5" s="1" t="s">
        <v>153</v>
      </c>
      <c r="D5" s="1" t="s">
        <v>28</v>
      </c>
      <c r="E5" s="1" t="s">
        <v>153</v>
      </c>
      <c r="F5" s="1" t="s">
        <v>45</v>
      </c>
    </row>
    <row r="6" customFormat="false" ht="14.25" hidden="false" customHeight="false" outlineLevel="0" collapsed="false">
      <c r="A6" s="1" t="s">
        <v>505</v>
      </c>
      <c r="B6" s="1" t="s">
        <v>250</v>
      </c>
      <c r="C6" s="1" t="s">
        <v>153</v>
      </c>
      <c r="D6" s="1" t="s">
        <v>45</v>
      </c>
      <c r="E6" s="1" t="s">
        <v>246</v>
      </c>
      <c r="F6" s="1" t="s">
        <v>52</v>
      </c>
    </row>
    <row r="7" customFormat="false" ht="14.25" hidden="false" customHeight="false" outlineLevel="0" collapsed="false">
      <c r="A7" s="1" t="s">
        <v>505</v>
      </c>
      <c r="B7" s="1" t="s">
        <v>263</v>
      </c>
      <c r="C7" s="1" t="s">
        <v>246</v>
      </c>
      <c r="D7" s="1" t="s">
        <v>52</v>
      </c>
      <c r="E7" s="1" t="s">
        <v>246</v>
      </c>
      <c r="F7" s="1" t="s">
        <v>55</v>
      </c>
    </row>
    <row r="8" customFormat="false" ht="14.25" hidden="false" customHeight="false" outlineLevel="0" collapsed="false">
      <c r="A8" s="1" t="s">
        <v>505</v>
      </c>
      <c r="B8" s="1" t="s">
        <v>506</v>
      </c>
      <c r="C8" s="1" t="s">
        <v>246</v>
      </c>
      <c r="D8" s="1" t="s">
        <v>55</v>
      </c>
      <c r="E8" s="1" t="s">
        <v>246</v>
      </c>
      <c r="F8" s="1" t="s">
        <v>57</v>
      </c>
    </row>
    <row r="9" customFormat="false" ht="14.25" hidden="false" customHeight="false" outlineLevel="0" collapsed="false">
      <c r="A9" s="1" t="s">
        <v>505</v>
      </c>
      <c r="B9" s="1" t="s">
        <v>317</v>
      </c>
      <c r="C9" s="1" t="s">
        <v>246</v>
      </c>
      <c r="D9" s="1" t="s">
        <v>57</v>
      </c>
      <c r="E9" s="1" t="s">
        <v>246</v>
      </c>
      <c r="F9" s="1" t="s">
        <v>68</v>
      </c>
    </row>
    <row r="10" customFormat="false" ht="14.25" hidden="false" customHeight="false" outlineLevel="0" collapsed="false">
      <c r="A10" s="1" t="s">
        <v>505</v>
      </c>
      <c r="B10" s="1" t="s">
        <v>327</v>
      </c>
      <c r="C10" s="1" t="s">
        <v>153</v>
      </c>
      <c r="D10" s="1" t="s">
        <v>85</v>
      </c>
      <c r="E10" s="1" t="s">
        <v>153</v>
      </c>
      <c r="F10" s="1" t="s">
        <v>84</v>
      </c>
    </row>
    <row r="11" customFormat="false" ht="14.25" hidden="false" customHeight="false" outlineLevel="0" collapsed="false">
      <c r="A11" s="1" t="s">
        <v>507</v>
      </c>
      <c r="B11" s="1" t="s">
        <v>353</v>
      </c>
      <c r="C11" s="1" t="s">
        <v>153</v>
      </c>
      <c r="D11" s="1" t="s">
        <v>84</v>
      </c>
      <c r="E11" s="1" t="s">
        <v>153</v>
      </c>
      <c r="F11" s="1" t="s">
        <v>81</v>
      </c>
    </row>
    <row r="12" customFormat="false" ht="14.25" hidden="false" customHeight="false" outlineLevel="0" collapsed="false">
      <c r="A12" s="1" t="s">
        <v>507</v>
      </c>
      <c r="B12" s="1" t="s">
        <v>356</v>
      </c>
      <c r="C12" s="1" t="s">
        <v>153</v>
      </c>
      <c r="D12" s="1" t="s">
        <v>81</v>
      </c>
      <c r="E12" s="1" t="s">
        <v>246</v>
      </c>
      <c r="F12" s="1" t="s">
        <v>58</v>
      </c>
    </row>
    <row r="13" customFormat="false" ht="14.25" hidden="false" customHeight="false" outlineLevel="0" collapsed="false">
      <c r="A13" s="1" t="s">
        <v>507</v>
      </c>
      <c r="B13" s="1" t="s">
        <v>372</v>
      </c>
      <c r="C13" s="1" t="s">
        <v>246</v>
      </c>
      <c r="D13" s="1" t="s">
        <v>58</v>
      </c>
      <c r="E13" s="1" t="s">
        <v>153</v>
      </c>
      <c r="F13" s="1" t="s">
        <v>86</v>
      </c>
    </row>
    <row r="14" customFormat="false" ht="14.25" hidden="false" customHeight="false" outlineLevel="0" collapsed="false">
      <c r="A14" s="1" t="s">
        <v>507</v>
      </c>
      <c r="B14" s="1" t="s">
        <v>376</v>
      </c>
      <c r="C14" s="1" t="s">
        <v>153</v>
      </c>
      <c r="D14" s="1" t="s">
        <v>86</v>
      </c>
      <c r="E14" s="1" t="s">
        <v>153</v>
      </c>
      <c r="F14" s="1" t="s">
        <v>83</v>
      </c>
    </row>
    <row r="15" customFormat="false" ht="14.25" hidden="false" customHeight="false" outlineLevel="0" collapsed="false">
      <c r="A15" s="1" t="s">
        <v>508</v>
      </c>
      <c r="B15" s="1" t="s">
        <v>437</v>
      </c>
      <c r="C15" s="1" t="s">
        <v>246</v>
      </c>
      <c r="D15" s="1" t="s">
        <v>72</v>
      </c>
      <c r="E15" s="1" t="s">
        <v>153</v>
      </c>
      <c r="F15" s="1" t="s">
        <v>435</v>
      </c>
    </row>
    <row r="16" customFormat="false" ht="14.25" hidden="false" customHeight="false" outlineLevel="0" collapsed="false">
      <c r="A16" s="1" t="s">
        <v>508</v>
      </c>
      <c r="B16" s="1" t="s">
        <v>436</v>
      </c>
      <c r="C16" s="1" t="s">
        <v>153</v>
      </c>
      <c r="D16" s="1" t="s">
        <v>435</v>
      </c>
      <c r="E16" s="1" t="s">
        <v>153</v>
      </c>
      <c r="F16" s="1" t="s">
        <v>438</v>
      </c>
    </row>
    <row r="17" customFormat="false" ht="14.25" hidden="false" customHeight="false" outlineLevel="0" collapsed="false">
      <c r="A17" s="1" t="s">
        <v>508</v>
      </c>
      <c r="B17" s="1" t="s">
        <v>439</v>
      </c>
      <c r="C17" s="1" t="s">
        <v>153</v>
      </c>
      <c r="D17" s="1" t="s">
        <v>438</v>
      </c>
      <c r="E17" s="1" t="s">
        <v>153</v>
      </c>
      <c r="F17" s="1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F11" activeCellId="0" sqref="F11"/>
    </sheetView>
  </sheetViews>
  <sheetFormatPr defaultColWidth="8.88671875" defaultRowHeight="14.25" customHeight="true" zeroHeight="false" outlineLevelRow="0" outlineLevelCol="0"/>
  <cols>
    <col collapsed="false" customWidth="true" hidden="false" outlineLevel="0" max="1" min="1" style="1" width="13.56"/>
    <col collapsed="false" customWidth="true" hidden="false" outlineLevel="0" max="2" min="2" style="1" width="7"/>
    <col collapsed="false" customWidth="true" hidden="false" outlineLevel="0" max="3" min="3" style="1" width="16"/>
    <col collapsed="false" customWidth="true" hidden="false" outlineLevel="0" max="4" min="4" style="1" width="15.11"/>
    <col collapsed="false" customWidth="false" hidden="false" outlineLevel="0" max="16384" min="5" style="1" width="8.88"/>
  </cols>
  <sheetData>
    <row r="1" customFormat="false" ht="14.25" hidden="false" customHeight="false" outlineLevel="0" collapsed="false">
      <c r="A1" s="1" t="s">
        <v>497</v>
      </c>
      <c r="B1" s="1" t="s">
        <v>498</v>
      </c>
      <c r="C1" s="1" t="s">
        <v>500</v>
      </c>
      <c r="D1" s="1" t="s">
        <v>502</v>
      </c>
    </row>
    <row r="2" customFormat="false" ht="14.25" hidden="false" customHeight="false" outlineLevel="0" collapsed="false">
      <c r="A2" s="40" t="s">
        <v>509</v>
      </c>
      <c r="B2" s="41" t="s">
        <v>223</v>
      </c>
      <c r="C2" s="41" t="s">
        <v>504</v>
      </c>
      <c r="D2" s="42" t="s">
        <v>41</v>
      </c>
    </row>
    <row r="3" customFormat="false" ht="14.25" hidden="false" customHeight="false" outlineLevel="0" collapsed="false">
      <c r="A3" s="43" t="s">
        <v>509</v>
      </c>
      <c r="B3" s="44" t="s">
        <v>169</v>
      </c>
      <c r="C3" s="44" t="s">
        <v>41</v>
      </c>
      <c r="D3" s="45" t="s">
        <v>36</v>
      </c>
    </row>
    <row r="4" customFormat="false" ht="14.25" hidden="false" customHeight="false" outlineLevel="0" collapsed="false">
      <c r="A4" s="43" t="s">
        <v>509</v>
      </c>
      <c r="B4" s="44" t="s">
        <v>168</v>
      </c>
      <c r="C4" s="44" t="s">
        <v>36</v>
      </c>
      <c r="D4" s="45" t="s">
        <v>40</v>
      </c>
    </row>
    <row r="5" customFormat="false" ht="14.25" hidden="false" customHeight="false" outlineLevel="0" collapsed="false">
      <c r="A5" s="43" t="s">
        <v>149</v>
      </c>
      <c r="B5" s="44" t="s">
        <v>155</v>
      </c>
      <c r="C5" s="44" t="s">
        <v>40</v>
      </c>
      <c r="D5" s="45" t="s">
        <v>43</v>
      </c>
    </row>
    <row r="6" customFormat="false" ht="14.25" hidden="false" customHeight="false" outlineLevel="0" collapsed="false">
      <c r="A6" s="43" t="s">
        <v>510</v>
      </c>
      <c r="B6" s="44" t="s">
        <v>227</v>
      </c>
      <c r="C6" s="44" t="s">
        <v>43</v>
      </c>
      <c r="D6" s="45" t="s">
        <v>53</v>
      </c>
    </row>
    <row r="7" customFormat="false" ht="14.25" hidden="false" customHeight="false" outlineLevel="0" collapsed="false">
      <c r="A7" s="43" t="s">
        <v>510</v>
      </c>
      <c r="B7" s="44" t="s">
        <v>249</v>
      </c>
      <c r="C7" s="44" t="s">
        <v>53</v>
      </c>
      <c r="D7" s="45" t="s">
        <v>54</v>
      </c>
    </row>
    <row r="8" customFormat="false" ht="14.25" hidden="false" customHeight="false" outlineLevel="0" collapsed="false">
      <c r="A8" s="43" t="s">
        <v>510</v>
      </c>
      <c r="B8" s="44" t="s">
        <v>276</v>
      </c>
      <c r="C8" s="44" t="s">
        <v>54</v>
      </c>
      <c r="D8" s="45" t="s">
        <v>59</v>
      </c>
    </row>
    <row r="9" customFormat="false" ht="14.25" hidden="false" customHeight="false" outlineLevel="0" collapsed="false">
      <c r="A9" s="43" t="s">
        <v>510</v>
      </c>
      <c r="B9" s="44" t="s">
        <v>281</v>
      </c>
      <c r="C9" s="44" t="s">
        <v>59</v>
      </c>
      <c r="D9" s="45" t="s">
        <v>56</v>
      </c>
    </row>
    <row r="10" customFormat="false" ht="14.25" hidden="false" customHeight="false" outlineLevel="0" collapsed="false">
      <c r="A10" s="43" t="s">
        <v>510</v>
      </c>
      <c r="B10" s="44" t="s">
        <v>300</v>
      </c>
      <c r="C10" s="44" t="s">
        <v>56</v>
      </c>
      <c r="D10" s="45" t="s">
        <v>85</v>
      </c>
    </row>
    <row r="11" customFormat="false" ht="14.25" hidden="false" customHeight="false" outlineLevel="0" collapsed="false">
      <c r="A11" s="43" t="s">
        <v>272</v>
      </c>
      <c r="B11" s="44" t="s">
        <v>318</v>
      </c>
      <c r="C11" s="44" t="s">
        <v>85</v>
      </c>
      <c r="D11" s="45" t="s">
        <v>89</v>
      </c>
    </row>
    <row r="12" customFormat="false" ht="14.25" hidden="false" customHeight="false" outlineLevel="0" collapsed="false">
      <c r="A12" s="43" t="s">
        <v>511</v>
      </c>
      <c r="B12" s="44" t="s">
        <v>329</v>
      </c>
      <c r="C12" s="44" t="s">
        <v>89</v>
      </c>
      <c r="D12" s="45" t="s">
        <v>81</v>
      </c>
    </row>
    <row r="13" customFormat="false" ht="14.25" hidden="false" customHeight="false" outlineLevel="0" collapsed="false">
      <c r="A13" s="43" t="s">
        <v>511</v>
      </c>
      <c r="B13" s="44" t="s">
        <v>353</v>
      </c>
      <c r="C13" s="44" t="s">
        <v>81</v>
      </c>
      <c r="D13" s="45" t="s">
        <v>67</v>
      </c>
    </row>
    <row r="14" customFormat="false" ht="14.25" hidden="false" customHeight="false" outlineLevel="0" collapsed="false">
      <c r="A14" s="43" t="s">
        <v>511</v>
      </c>
      <c r="B14" s="44" t="s">
        <v>356</v>
      </c>
      <c r="C14" s="44" t="s">
        <v>67</v>
      </c>
      <c r="D14" s="45" t="s">
        <v>80</v>
      </c>
    </row>
    <row r="15" customFormat="false" ht="14.25" hidden="false" customHeight="false" outlineLevel="0" collapsed="false">
      <c r="A15" s="43" t="s">
        <v>511</v>
      </c>
      <c r="B15" s="44" t="s">
        <v>512</v>
      </c>
      <c r="C15" s="44" t="s">
        <v>80</v>
      </c>
      <c r="D15" s="45" t="s">
        <v>504</v>
      </c>
    </row>
    <row r="16" customFormat="false" ht="14.25" hidden="false" customHeight="false" outlineLevel="0" collapsed="false">
      <c r="A16" s="43" t="s">
        <v>511</v>
      </c>
      <c r="B16" s="44" t="s">
        <v>374</v>
      </c>
      <c r="C16" s="44" t="s">
        <v>504</v>
      </c>
      <c r="D16" s="45" t="s">
        <v>78</v>
      </c>
    </row>
    <row r="17" customFormat="false" ht="14.25" hidden="false" customHeight="false" outlineLevel="0" collapsed="false">
      <c r="A17" s="43" t="s">
        <v>511</v>
      </c>
      <c r="B17" s="44" t="s">
        <v>376</v>
      </c>
      <c r="C17" s="44" t="s">
        <v>78</v>
      </c>
      <c r="D17" s="45" t="s">
        <v>73</v>
      </c>
    </row>
    <row r="18" customFormat="false" ht="14.25" hidden="false" customHeight="false" outlineLevel="0" collapsed="false">
      <c r="A18" s="43" t="s">
        <v>511</v>
      </c>
      <c r="B18" s="44" t="s">
        <v>390</v>
      </c>
      <c r="C18" s="44" t="s">
        <v>73</v>
      </c>
      <c r="D18" s="45" t="s">
        <v>43</v>
      </c>
    </row>
    <row r="19" customFormat="false" ht="14.25" hidden="false" customHeight="false" outlineLevel="0" collapsed="false">
      <c r="A19" s="46" t="s">
        <v>241</v>
      </c>
      <c r="B19" s="47" t="s">
        <v>391</v>
      </c>
      <c r="C19" s="47" t="s">
        <v>43</v>
      </c>
      <c r="D19" s="48" t="s">
        <v>504</v>
      </c>
    </row>
    <row r="21" customFormat="false" ht="14.25" hidden="false" customHeight="false" outlineLevel="0" collapsed="false">
      <c r="A21" s="40" t="s">
        <v>511</v>
      </c>
      <c r="B21" s="41" t="s">
        <v>473</v>
      </c>
      <c r="C21" s="41" t="s">
        <v>504</v>
      </c>
      <c r="D21" s="42" t="s">
        <v>35</v>
      </c>
    </row>
    <row r="22" customFormat="false" ht="14.25" hidden="false" customHeight="false" outlineLevel="0" collapsed="false">
      <c r="A22" s="43" t="s">
        <v>513</v>
      </c>
      <c r="B22" s="44" t="s">
        <v>472</v>
      </c>
      <c r="C22" s="44" t="s">
        <v>35</v>
      </c>
      <c r="D22" s="45" t="s">
        <v>32</v>
      </c>
    </row>
    <row r="23" customFormat="false" ht="14.25" hidden="false" customHeight="false" outlineLevel="0" collapsed="false">
      <c r="A23" s="43" t="s">
        <v>513</v>
      </c>
      <c r="B23" s="44" t="s">
        <v>514</v>
      </c>
      <c r="C23" s="44" t="s">
        <v>32</v>
      </c>
      <c r="D23" s="45" t="s">
        <v>39</v>
      </c>
    </row>
    <row r="24" customFormat="false" ht="14.25" hidden="false" customHeight="false" outlineLevel="0" collapsed="false">
      <c r="A24" s="43" t="s">
        <v>513</v>
      </c>
      <c r="B24" s="44" t="s">
        <v>441</v>
      </c>
      <c r="C24" s="44" t="s">
        <v>39</v>
      </c>
      <c r="D24" s="45" t="s">
        <v>67</v>
      </c>
    </row>
    <row r="25" customFormat="false" ht="14.25" hidden="false" customHeight="false" outlineLevel="0" collapsed="false">
      <c r="A25" s="46" t="s">
        <v>513</v>
      </c>
      <c r="B25" s="47" t="s">
        <v>488</v>
      </c>
      <c r="C25" s="47" t="s">
        <v>67</v>
      </c>
      <c r="D25" s="48" t="s">
        <v>504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1"/>
  <sheetViews>
    <sheetView showFormulas="false" showGridLines="true" showRowColHeaders="true" showZeros="true" rightToLeft="false" tabSelected="false" showOutlineSymbols="true" defaultGridColor="true" view="normal" topLeftCell="A2" colorId="64" zoomScale="110" zoomScaleNormal="110" zoomScalePageLayoutView="100" workbookViewId="0">
      <selection pane="topLeft" activeCell="G14" activeCellId="0" sqref="G14"/>
    </sheetView>
  </sheetViews>
  <sheetFormatPr defaultColWidth="8.34375" defaultRowHeight="14.25" customHeight="true" zeroHeight="false" outlineLevelRow="0" outlineLevelCol="0"/>
  <cols>
    <col collapsed="false" customWidth="true" hidden="false" outlineLevel="0" max="1" min="1" style="49" width="13.56"/>
    <col collapsed="false" customWidth="true" hidden="false" outlineLevel="0" max="2" min="2" style="49" width="7"/>
    <col collapsed="false" customWidth="true" hidden="false" outlineLevel="0" max="3" min="3" style="49" width="16"/>
    <col collapsed="false" customWidth="true" hidden="false" outlineLevel="0" max="4" min="4" style="49" width="15.11"/>
  </cols>
  <sheetData>
    <row r="1" customFormat="false" ht="14.25" hidden="false" customHeight="false" outlineLevel="0" collapsed="false">
      <c r="A1" s="1" t="s">
        <v>497</v>
      </c>
      <c r="B1" s="1" t="s">
        <v>498</v>
      </c>
      <c r="C1" s="1" t="s">
        <v>500</v>
      </c>
      <c r="D1" s="1" t="s">
        <v>502</v>
      </c>
    </row>
    <row r="2" customFormat="false" ht="14.25" hidden="false" customHeight="false" outlineLevel="0" collapsed="false">
      <c r="A2" s="40" t="s">
        <v>509</v>
      </c>
      <c r="B2" s="41" t="s">
        <v>177</v>
      </c>
      <c r="C2" s="41" t="s">
        <v>504</v>
      </c>
      <c r="D2" s="42" t="s">
        <v>64</v>
      </c>
    </row>
    <row r="3" customFormat="false" ht="14.25" hidden="false" customHeight="false" outlineLevel="0" collapsed="false">
      <c r="A3" s="43" t="s">
        <v>509</v>
      </c>
      <c r="B3" s="1" t="s">
        <v>175</v>
      </c>
      <c r="C3" s="1" t="s">
        <v>64</v>
      </c>
      <c r="D3" s="45" t="s">
        <v>28</v>
      </c>
    </row>
    <row r="4" customFormat="false" ht="14.25" hidden="false" customHeight="false" outlineLevel="0" collapsed="false">
      <c r="A4" s="43" t="s">
        <v>509</v>
      </c>
      <c r="B4" s="1" t="s">
        <v>188</v>
      </c>
      <c r="C4" s="1" t="s">
        <v>28</v>
      </c>
      <c r="D4" s="45" t="s">
        <v>28</v>
      </c>
    </row>
    <row r="5" customFormat="false" ht="14.25" hidden="false" customHeight="false" outlineLevel="0" collapsed="false">
      <c r="A5" s="43" t="s">
        <v>509</v>
      </c>
      <c r="B5" s="1" t="s">
        <v>194</v>
      </c>
      <c r="C5" s="1" t="s">
        <v>28</v>
      </c>
      <c r="D5" s="45" t="s">
        <v>29</v>
      </c>
    </row>
    <row r="6" customFormat="false" ht="14.25" hidden="false" customHeight="false" outlineLevel="0" collapsed="false">
      <c r="A6" s="43" t="s">
        <v>509</v>
      </c>
      <c r="B6" s="1" t="s">
        <v>199</v>
      </c>
      <c r="C6" s="1" t="s">
        <v>29</v>
      </c>
      <c r="D6" s="45" t="s">
        <v>29</v>
      </c>
    </row>
    <row r="7" customFormat="false" ht="14.25" hidden="false" customHeight="false" outlineLevel="0" collapsed="false">
      <c r="A7" s="43" t="s">
        <v>509</v>
      </c>
      <c r="B7" s="1" t="s">
        <v>210</v>
      </c>
      <c r="C7" s="1" t="s">
        <v>29</v>
      </c>
      <c r="D7" s="45" t="s">
        <v>29</v>
      </c>
    </row>
    <row r="8" customFormat="false" ht="14.25" hidden="false" customHeight="false" outlineLevel="0" collapsed="false">
      <c r="A8" s="43" t="s">
        <v>509</v>
      </c>
      <c r="B8" s="1" t="s">
        <v>217</v>
      </c>
      <c r="C8" s="1" t="s">
        <v>29</v>
      </c>
      <c r="D8" s="45" t="s">
        <v>29</v>
      </c>
    </row>
    <row r="9" customFormat="false" ht="14.25" hidden="false" customHeight="false" outlineLevel="0" collapsed="false">
      <c r="A9" s="43" t="s">
        <v>149</v>
      </c>
      <c r="B9" s="1" t="s">
        <v>155</v>
      </c>
      <c r="C9" s="1" t="s">
        <v>29</v>
      </c>
      <c r="D9" s="45" t="s">
        <v>27</v>
      </c>
    </row>
    <row r="10" customFormat="false" ht="14.25" hidden="false" customHeight="false" outlineLevel="0" collapsed="false">
      <c r="A10" s="43" t="s">
        <v>510</v>
      </c>
      <c r="B10" s="1" t="s">
        <v>236</v>
      </c>
      <c r="C10" s="1" t="s">
        <v>27</v>
      </c>
      <c r="D10" s="45" t="s">
        <v>27</v>
      </c>
    </row>
    <row r="11" customFormat="false" ht="14.25" hidden="false" customHeight="false" outlineLevel="0" collapsed="false">
      <c r="A11" s="43" t="s">
        <v>510</v>
      </c>
      <c r="B11" s="1" t="s">
        <v>240</v>
      </c>
      <c r="C11" s="1" t="s">
        <v>27</v>
      </c>
      <c r="D11" s="45" t="s">
        <v>27</v>
      </c>
    </row>
    <row r="12" customFormat="false" ht="14.25" hidden="false" customHeight="false" outlineLevel="0" collapsed="false">
      <c r="A12" s="43" t="s">
        <v>510</v>
      </c>
      <c r="B12" s="1" t="s">
        <v>254</v>
      </c>
      <c r="C12" s="1" t="s">
        <v>27</v>
      </c>
      <c r="D12" s="45" t="s">
        <v>65</v>
      </c>
    </row>
    <row r="13" customFormat="false" ht="14.25" hidden="false" customHeight="false" outlineLevel="0" collapsed="false">
      <c r="A13" s="43" t="s">
        <v>510</v>
      </c>
      <c r="B13" s="1" t="s">
        <v>245</v>
      </c>
      <c r="C13" s="1" t="s">
        <v>65</v>
      </c>
      <c r="D13" s="45" t="s">
        <v>21</v>
      </c>
    </row>
    <row r="14" customFormat="false" ht="14.25" hidden="false" customHeight="false" outlineLevel="0" collapsed="false">
      <c r="A14" s="43" t="s">
        <v>510</v>
      </c>
      <c r="B14" s="1" t="s">
        <v>260</v>
      </c>
      <c r="C14" s="1" t="s">
        <v>21</v>
      </c>
      <c r="D14" s="45" t="s">
        <v>21</v>
      </c>
    </row>
    <row r="15" customFormat="false" ht="14.25" hidden="false" customHeight="false" outlineLevel="0" collapsed="false">
      <c r="A15" s="43" t="s">
        <v>510</v>
      </c>
      <c r="B15" s="1" t="s">
        <v>267</v>
      </c>
      <c r="C15" s="1" t="s">
        <v>21</v>
      </c>
      <c r="D15" s="45" t="s">
        <v>21</v>
      </c>
    </row>
    <row r="16" customFormat="false" ht="14.25" hidden="false" customHeight="false" outlineLevel="0" collapsed="false">
      <c r="A16" s="43" t="s">
        <v>510</v>
      </c>
      <c r="B16" s="1" t="s">
        <v>271</v>
      </c>
      <c r="C16" s="1" t="s">
        <v>21</v>
      </c>
      <c r="D16" s="45" t="s">
        <v>65</v>
      </c>
    </row>
    <row r="17" customFormat="false" ht="14.25" hidden="false" customHeight="false" outlineLevel="0" collapsed="false">
      <c r="A17" s="43" t="s">
        <v>510</v>
      </c>
      <c r="B17" s="1" t="s">
        <v>290</v>
      </c>
      <c r="C17" s="1" t="s">
        <v>65</v>
      </c>
      <c r="D17" s="45" t="s">
        <v>65</v>
      </c>
    </row>
    <row r="18" customFormat="false" ht="14.25" hidden="false" customHeight="false" outlineLevel="0" collapsed="false">
      <c r="A18" s="43" t="s">
        <v>510</v>
      </c>
      <c r="B18" s="1" t="s">
        <v>292</v>
      </c>
      <c r="C18" s="1" t="s">
        <v>65</v>
      </c>
      <c r="D18" s="45" t="s">
        <v>65</v>
      </c>
    </row>
    <row r="19" customFormat="false" ht="14.25" hidden="false" customHeight="false" outlineLevel="0" collapsed="false">
      <c r="A19" s="43" t="s">
        <v>510</v>
      </c>
      <c r="B19" s="1" t="s">
        <v>296</v>
      </c>
      <c r="C19" s="1" t="s">
        <v>65</v>
      </c>
      <c r="D19" s="45" t="s">
        <v>65</v>
      </c>
    </row>
    <row r="20" customFormat="false" ht="14.25" hidden="false" customHeight="false" outlineLevel="0" collapsed="false">
      <c r="A20" s="43" t="s">
        <v>510</v>
      </c>
      <c r="B20" s="1" t="s">
        <v>305</v>
      </c>
      <c r="C20" s="1" t="s">
        <v>65</v>
      </c>
      <c r="D20" s="45" t="s">
        <v>64</v>
      </c>
    </row>
    <row r="21" customFormat="false" ht="14.25" hidden="false" customHeight="false" outlineLevel="0" collapsed="false">
      <c r="A21" s="43" t="s">
        <v>510</v>
      </c>
      <c r="B21" s="1" t="s">
        <v>310</v>
      </c>
      <c r="C21" s="1" t="s">
        <v>64</v>
      </c>
      <c r="D21" s="45" t="s">
        <v>64</v>
      </c>
    </row>
    <row r="22" customFormat="false" ht="14.25" hidden="false" customHeight="false" outlineLevel="0" collapsed="false">
      <c r="A22" s="43" t="s">
        <v>510</v>
      </c>
      <c r="B22" s="1" t="s">
        <v>315</v>
      </c>
      <c r="C22" s="1" t="s">
        <v>64</v>
      </c>
      <c r="D22" s="45" t="s">
        <v>64</v>
      </c>
    </row>
    <row r="23" customFormat="false" ht="14.25" hidden="false" customHeight="false" outlineLevel="0" collapsed="false">
      <c r="A23" s="43" t="s">
        <v>510</v>
      </c>
      <c r="B23" s="1" t="s">
        <v>322</v>
      </c>
      <c r="C23" s="1" t="s">
        <v>64</v>
      </c>
      <c r="D23" s="45" t="s">
        <v>50</v>
      </c>
    </row>
    <row r="24" customFormat="false" ht="14.25" hidden="false" customHeight="false" outlineLevel="0" collapsed="false">
      <c r="A24" s="46" t="s">
        <v>510</v>
      </c>
      <c r="B24" s="47" t="s">
        <v>335</v>
      </c>
      <c r="C24" s="47" t="s">
        <v>50</v>
      </c>
      <c r="D24" s="48" t="s">
        <v>504</v>
      </c>
    </row>
    <row r="25" customFormat="false" ht="14.25" hidden="false" customHeight="false" outlineLevel="0" collapsed="false">
      <c r="A25" s="1"/>
      <c r="B25" s="1"/>
      <c r="C25" s="1"/>
      <c r="D25" s="1"/>
    </row>
    <row r="26" customFormat="false" ht="14.25" hidden="false" customHeight="false" outlineLevel="0" collapsed="false">
      <c r="A26" s="40" t="s">
        <v>272</v>
      </c>
      <c r="B26" s="41" t="s">
        <v>318</v>
      </c>
      <c r="C26" s="41" t="s">
        <v>504</v>
      </c>
      <c r="D26" s="42" t="s">
        <v>50</v>
      </c>
    </row>
    <row r="27" customFormat="false" ht="14.25" hidden="false" customHeight="false" outlineLevel="0" collapsed="false">
      <c r="A27" s="43" t="s">
        <v>511</v>
      </c>
      <c r="B27" s="1" t="s">
        <v>338</v>
      </c>
      <c r="C27" s="1" t="s">
        <v>50</v>
      </c>
      <c r="D27" s="45" t="s">
        <v>51</v>
      </c>
    </row>
    <row r="28" customFormat="false" ht="14.25" hidden="false" customHeight="false" outlineLevel="0" collapsed="false">
      <c r="A28" s="43" t="s">
        <v>511</v>
      </c>
      <c r="B28" s="1" t="s">
        <v>341</v>
      </c>
      <c r="C28" s="1" t="s">
        <v>51</v>
      </c>
      <c r="D28" s="45" t="s">
        <v>50</v>
      </c>
    </row>
    <row r="29" customFormat="false" ht="14.25" hidden="false" customHeight="false" outlineLevel="0" collapsed="false">
      <c r="A29" s="43" t="s">
        <v>511</v>
      </c>
      <c r="B29" s="1" t="s">
        <v>344</v>
      </c>
      <c r="C29" s="1" t="s">
        <v>50</v>
      </c>
      <c r="D29" s="45" t="s">
        <v>64</v>
      </c>
    </row>
    <row r="30" customFormat="false" ht="14.25" hidden="false" customHeight="false" outlineLevel="0" collapsed="false">
      <c r="A30" s="43" t="s">
        <v>511</v>
      </c>
      <c r="B30" s="1" t="s">
        <v>346</v>
      </c>
      <c r="C30" s="1" t="s">
        <v>64</v>
      </c>
      <c r="D30" s="45" t="s">
        <v>51</v>
      </c>
    </row>
    <row r="31" customFormat="false" ht="14.25" hidden="false" customHeight="false" outlineLevel="0" collapsed="false">
      <c r="A31" s="43" t="s">
        <v>511</v>
      </c>
      <c r="B31" s="1" t="s">
        <v>349</v>
      </c>
      <c r="C31" s="1" t="s">
        <v>51</v>
      </c>
      <c r="D31" s="45" t="s">
        <v>51</v>
      </c>
    </row>
    <row r="32" customFormat="false" ht="14.25" hidden="false" customHeight="false" outlineLevel="0" collapsed="false">
      <c r="A32" s="43" t="s">
        <v>511</v>
      </c>
      <c r="B32" s="1" t="s">
        <v>353</v>
      </c>
      <c r="C32" s="1" t="s">
        <v>51</v>
      </c>
      <c r="D32" s="45" t="s">
        <v>64</v>
      </c>
    </row>
    <row r="33" customFormat="false" ht="14.25" hidden="false" customHeight="false" outlineLevel="0" collapsed="false">
      <c r="A33" s="43" t="s">
        <v>511</v>
      </c>
      <c r="B33" s="1" t="s">
        <v>356</v>
      </c>
      <c r="C33" s="1" t="s">
        <v>64</v>
      </c>
      <c r="D33" s="45" t="s">
        <v>47</v>
      </c>
    </row>
    <row r="34" customFormat="false" ht="14.25" hidden="false" customHeight="false" outlineLevel="0" collapsed="false">
      <c r="A34" s="43" t="s">
        <v>511</v>
      </c>
      <c r="B34" s="1" t="s">
        <v>376</v>
      </c>
      <c r="C34" s="1" t="s">
        <v>47</v>
      </c>
      <c r="D34" s="45" t="s">
        <v>63</v>
      </c>
    </row>
    <row r="35" customFormat="false" ht="14.25" hidden="false" customHeight="false" outlineLevel="0" collapsed="false">
      <c r="A35" s="43" t="s">
        <v>511</v>
      </c>
      <c r="B35" s="1" t="s">
        <v>400</v>
      </c>
      <c r="C35" s="1" t="s">
        <v>63</v>
      </c>
      <c r="D35" s="45" t="s">
        <v>47</v>
      </c>
    </row>
    <row r="36" customFormat="false" ht="14.25" hidden="false" customHeight="false" outlineLevel="0" collapsed="false">
      <c r="A36" s="43" t="s">
        <v>511</v>
      </c>
      <c r="B36" s="1" t="s">
        <v>403</v>
      </c>
      <c r="C36" s="1" t="s">
        <v>47</v>
      </c>
      <c r="D36" s="45" t="s">
        <v>48</v>
      </c>
    </row>
    <row r="37" customFormat="false" ht="14.25" hidden="false" customHeight="false" outlineLevel="0" collapsed="false">
      <c r="A37" s="43" t="s">
        <v>511</v>
      </c>
      <c r="B37" s="1" t="s">
        <v>406</v>
      </c>
      <c r="C37" s="1" t="s">
        <v>48</v>
      </c>
      <c r="D37" s="45" t="s">
        <v>47</v>
      </c>
    </row>
    <row r="38" customFormat="false" ht="14.25" hidden="false" customHeight="false" outlineLevel="0" collapsed="false">
      <c r="A38" s="43" t="s">
        <v>511</v>
      </c>
      <c r="B38" s="1" t="s">
        <v>409</v>
      </c>
      <c r="C38" s="1" t="s">
        <v>47</v>
      </c>
      <c r="D38" s="45" t="s">
        <v>63</v>
      </c>
    </row>
    <row r="39" customFormat="false" ht="14.25" hidden="false" customHeight="false" outlineLevel="0" collapsed="false">
      <c r="A39" s="43" t="s">
        <v>241</v>
      </c>
      <c r="B39" s="1" t="s">
        <v>391</v>
      </c>
      <c r="C39" s="1" t="s">
        <v>63</v>
      </c>
      <c r="D39" s="45" t="s">
        <v>51</v>
      </c>
    </row>
    <row r="40" customFormat="false" ht="14.25" hidden="false" customHeight="false" outlineLevel="0" collapsed="false">
      <c r="A40" s="46" t="s">
        <v>513</v>
      </c>
      <c r="B40" s="47" t="s">
        <v>427</v>
      </c>
      <c r="C40" s="47" t="s">
        <v>51</v>
      </c>
      <c r="D40" s="48" t="s">
        <v>504</v>
      </c>
    </row>
    <row r="41" customFormat="false" ht="14.25" hidden="false" customHeight="false" outlineLevel="0" collapsed="false">
      <c r="A41" s="1"/>
      <c r="B41" s="1"/>
      <c r="C41" s="1"/>
      <c r="D41" s="1"/>
    </row>
    <row r="42" customFormat="false" ht="14.25" hidden="false" customHeight="false" outlineLevel="0" collapsed="false">
      <c r="A42" s="40" t="s">
        <v>511</v>
      </c>
      <c r="B42" s="41" t="s">
        <v>390</v>
      </c>
      <c r="C42" s="41" t="s">
        <v>504</v>
      </c>
      <c r="D42" s="42" t="s">
        <v>48</v>
      </c>
    </row>
    <row r="43" customFormat="false" ht="14.25" hidden="false" customHeight="false" outlineLevel="0" collapsed="false">
      <c r="A43" s="46" t="s">
        <v>241</v>
      </c>
      <c r="B43" s="47" t="s">
        <v>391</v>
      </c>
      <c r="C43" s="47" t="s">
        <v>48</v>
      </c>
      <c r="D43" s="48" t="s">
        <v>504</v>
      </c>
    </row>
    <row r="44" customFormat="false" ht="14.25" hidden="false" customHeight="false" outlineLevel="0" collapsed="false">
      <c r="A44" s="1"/>
      <c r="B44" s="1"/>
      <c r="C44" s="1"/>
      <c r="D44" s="1"/>
    </row>
    <row r="45" customFormat="false" ht="14.25" hidden="false" customHeight="false" outlineLevel="0" collapsed="false">
      <c r="A45" s="40" t="s">
        <v>513</v>
      </c>
      <c r="B45" s="41" t="s">
        <v>446</v>
      </c>
      <c r="C45" s="41" t="s">
        <v>504</v>
      </c>
      <c r="D45" s="42" t="s">
        <v>31</v>
      </c>
    </row>
    <row r="46" customFormat="false" ht="14.25" hidden="false" customHeight="false" outlineLevel="0" collapsed="false">
      <c r="A46" s="46" t="s">
        <v>513</v>
      </c>
      <c r="B46" s="47" t="s">
        <v>445</v>
      </c>
      <c r="C46" s="47" t="s">
        <v>31</v>
      </c>
      <c r="D46" s="48" t="s">
        <v>504</v>
      </c>
    </row>
    <row r="47" customFormat="false" ht="14.25" hidden="false" customHeight="false" outlineLevel="0" collapsed="false">
      <c r="A47" s="1"/>
      <c r="B47" s="1"/>
      <c r="C47" s="1"/>
      <c r="D47" s="1"/>
    </row>
    <row r="48" customFormat="false" ht="14.25" hidden="false" customHeight="false" outlineLevel="0" collapsed="false">
      <c r="A48" s="40" t="s">
        <v>513</v>
      </c>
      <c r="B48" s="41" t="s">
        <v>431</v>
      </c>
      <c r="C48" s="41" t="s">
        <v>504</v>
      </c>
      <c r="D48" s="42" t="s">
        <v>51</v>
      </c>
    </row>
    <row r="49" customFormat="false" ht="14.25" hidden="false" customHeight="false" outlineLevel="0" collapsed="false">
      <c r="A49" s="43" t="s">
        <v>513</v>
      </c>
      <c r="B49" s="1" t="s">
        <v>432</v>
      </c>
      <c r="C49" s="1" t="s">
        <v>51</v>
      </c>
      <c r="D49" s="45" t="s">
        <v>49</v>
      </c>
    </row>
    <row r="50" customFormat="false" ht="14.25" hidden="false" customHeight="false" outlineLevel="0" collapsed="false">
      <c r="A50" s="43" t="s">
        <v>513</v>
      </c>
      <c r="B50" s="1" t="s">
        <v>449</v>
      </c>
      <c r="C50" s="1" t="s">
        <v>49</v>
      </c>
      <c r="D50" s="45" t="s">
        <v>49</v>
      </c>
    </row>
    <row r="51" customFormat="false" ht="14.25" hidden="false" customHeight="false" outlineLevel="0" collapsed="false">
      <c r="A51" s="43" t="s">
        <v>513</v>
      </c>
      <c r="B51" s="1" t="s">
        <v>453</v>
      </c>
      <c r="C51" s="1" t="s">
        <v>49</v>
      </c>
      <c r="D51" s="45" t="s">
        <v>49</v>
      </c>
    </row>
    <row r="52" customFormat="false" ht="14.25" hidden="false" customHeight="false" outlineLevel="0" collapsed="false">
      <c r="A52" s="43" t="s">
        <v>513</v>
      </c>
      <c r="B52" s="1" t="s">
        <v>456</v>
      </c>
      <c r="C52" s="1" t="s">
        <v>49</v>
      </c>
      <c r="D52" s="45" t="s">
        <v>49</v>
      </c>
    </row>
    <row r="53" customFormat="false" ht="14.25" hidden="false" customHeight="false" outlineLevel="0" collapsed="false">
      <c r="A53" s="43" t="s">
        <v>513</v>
      </c>
      <c r="B53" s="1" t="s">
        <v>468</v>
      </c>
      <c r="C53" s="1" t="s">
        <v>49</v>
      </c>
      <c r="D53" s="45" t="s">
        <v>49</v>
      </c>
    </row>
    <row r="54" customFormat="false" ht="14.25" hidden="false" customHeight="false" outlineLevel="0" collapsed="false">
      <c r="A54" s="46" t="s">
        <v>513</v>
      </c>
      <c r="B54" s="47" t="s">
        <v>476</v>
      </c>
      <c r="C54" s="47" t="s">
        <v>49</v>
      </c>
      <c r="D54" s="48" t="s">
        <v>504</v>
      </c>
    </row>
    <row r="55" customFormat="false" ht="14.25" hidden="false" customHeight="false" outlineLevel="0" collapsed="false">
      <c r="A55" s="1"/>
      <c r="B55" s="1"/>
      <c r="C55" s="1"/>
      <c r="D55" s="1"/>
    </row>
    <row r="56" customFormat="false" ht="14.25" hidden="false" customHeight="false" outlineLevel="0" collapsed="false">
      <c r="A56" s="40" t="s">
        <v>513</v>
      </c>
      <c r="B56" s="41" t="s">
        <v>481</v>
      </c>
      <c r="C56" s="41" t="s">
        <v>504</v>
      </c>
      <c r="D56" s="42" t="s">
        <v>64</v>
      </c>
    </row>
    <row r="57" customFormat="false" ht="14.25" hidden="false" customHeight="false" outlineLevel="0" collapsed="false">
      <c r="A57" s="43" t="s">
        <v>513</v>
      </c>
      <c r="B57" s="1" t="s">
        <v>482</v>
      </c>
      <c r="C57" s="1" t="s">
        <v>64</v>
      </c>
      <c r="D57" s="45" t="s">
        <v>66</v>
      </c>
    </row>
    <row r="58" customFormat="false" ht="14.25" hidden="false" customHeight="false" outlineLevel="0" collapsed="false">
      <c r="A58" s="46" t="s">
        <v>513</v>
      </c>
      <c r="B58" s="47" t="s">
        <v>492</v>
      </c>
      <c r="C58" s="47" t="s">
        <v>66</v>
      </c>
      <c r="D58" s="48" t="s">
        <v>504</v>
      </c>
    </row>
    <row r="59" customFormat="false" ht="14.25" hidden="false" customHeight="false" outlineLevel="0" collapsed="false">
      <c r="A59" s="1"/>
      <c r="B59" s="1"/>
      <c r="C59" s="1"/>
      <c r="D59" s="1"/>
    </row>
    <row r="60" customFormat="false" ht="14.25" hidden="false" customHeight="false" outlineLevel="0" collapsed="false">
      <c r="A60" s="40" t="s">
        <v>471</v>
      </c>
      <c r="B60" s="41" t="s">
        <v>496</v>
      </c>
      <c r="C60" s="41" t="s">
        <v>504</v>
      </c>
      <c r="D60" s="42" t="s">
        <v>64</v>
      </c>
    </row>
    <row r="61" customFormat="false" ht="14.25" hidden="false" customHeight="false" outlineLevel="0" collapsed="false">
      <c r="A61" s="46" t="s">
        <v>515</v>
      </c>
      <c r="B61" s="47" t="s">
        <v>495</v>
      </c>
      <c r="C61" s="47" t="s">
        <v>64</v>
      </c>
      <c r="D61" s="48" t="s">
        <v>504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K14" activeCellId="0" sqref="K14"/>
    </sheetView>
  </sheetViews>
  <sheetFormatPr defaultColWidth="8.34375" defaultRowHeight="14.25" customHeight="true" zeroHeight="false" outlineLevelRow="0" outlineLevelCol="0"/>
  <cols>
    <col collapsed="false" customWidth="true" hidden="false" outlineLevel="0" max="1" min="1" style="49" width="13.56"/>
    <col collapsed="false" customWidth="true" hidden="false" outlineLevel="0" max="2" min="2" style="49" width="7"/>
    <col collapsed="false" customWidth="true" hidden="false" outlineLevel="0" max="3" min="3" style="49" width="16"/>
    <col collapsed="false" customWidth="true" hidden="false" outlineLevel="0" max="4" min="4" style="49" width="15.11"/>
  </cols>
  <sheetData>
    <row r="1" customFormat="false" ht="14.25" hidden="false" customHeight="false" outlineLevel="0" collapsed="false">
      <c r="A1" s="1" t="s">
        <v>497</v>
      </c>
      <c r="B1" s="1" t="s">
        <v>498</v>
      </c>
      <c r="C1" s="1" t="s">
        <v>500</v>
      </c>
      <c r="D1" s="1" t="s">
        <v>502</v>
      </c>
    </row>
    <row r="2" customFormat="false" ht="14.25" hidden="false" customHeight="false" outlineLevel="0" collapsed="false">
      <c r="A2" s="40" t="s">
        <v>509</v>
      </c>
      <c r="B2" s="41" t="s">
        <v>516</v>
      </c>
      <c r="C2" s="41" t="s">
        <v>504</v>
      </c>
      <c r="D2" s="42" t="s">
        <v>25</v>
      </c>
    </row>
    <row r="3" customFormat="false" ht="14.25" hidden="false" customHeight="false" outlineLevel="0" collapsed="false">
      <c r="A3" s="43" t="s">
        <v>149</v>
      </c>
      <c r="B3" s="1" t="s">
        <v>155</v>
      </c>
      <c r="C3" s="1" t="s">
        <v>25</v>
      </c>
      <c r="D3" s="45" t="s">
        <v>27</v>
      </c>
    </row>
    <row r="4" customFormat="false" ht="14.25" hidden="false" customHeight="false" outlineLevel="0" collapsed="false">
      <c r="A4" s="43" t="s">
        <v>510</v>
      </c>
      <c r="B4" s="1" t="s">
        <v>248</v>
      </c>
      <c r="C4" s="1" t="s">
        <v>27</v>
      </c>
      <c r="D4" s="45" t="s">
        <v>20</v>
      </c>
    </row>
    <row r="5" customFormat="false" ht="14.25" hidden="false" customHeight="false" outlineLevel="0" collapsed="false">
      <c r="A5" s="43" t="s">
        <v>510</v>
      </c>
      <c r="B5" s="1" t="s">
        <v>274</v>
      </c>
      <c r="C5" s="1" t="s">
        <v>20</v>
      </c>
      <c r="D5" s="45" t="s">
        <v>22</v>
      </c>
    </row>
    <row r="6" customFormat="false" ht="14.25" hidden="false" customHeight="false" outlineLevel="0" collapsed="false">
      <c r="A6" s="46" t="s">
        <v>510</v>
      </c>
      <c r="B6" s="47" t="s">
        <v>298</v>
      </c>
      <c r="C6" s="47" t="s">
        <v>22</v>
      </c>
      <c r="D6" s="48" t="s">
        <v>504</v>
      </c>
    </row>
    <row r="7" customFormat="false" ht="14.25" hidden="false" customHeight="false" outlineLevel="0" collapsed="false">
      <c r="A7" s="1"/>
      <c r="B7" s="1"/>
      <c r="C7" s="1"/>
      <c r="D7" s="1"/>
    </row>
    <row r="8" customFormat="false" ht="14.25" hidden="false" customHeight="false" outlineLevel="0" collapsed="false">
      <c r="A8" s="40" t="s">
        <v>510</v>
      </c>
      <c r="B8" s="41" t="s">
        <v>317</v>
      </c>
      <c r="C8" s="41" t="s">
        <v>504</v>
      </c>
      <c r="D8" s="42" t="s">
        <v>50</v>
      </c>
    </row>
    <row r="9" customFormat="false" ht="14.25" hidden="false" customHeight="false" outlineLevel="0" collapsed="false">
      <c r="A9" s="43" t="s">
        <v>272</v>
      </c>
      <c r="B9" s="1" t="s">
        <v>318</v>
      </c>
      <c r="C9" s="1" t="s">
        <v>50</v>
      </c>
      <c r="D9" s="45" t="s">
        <v>50</v>
      </c>
    </row>
    <row r="10" customFormat="false" ht="14.25" hidden="false" customHeight="false" outlineLevel="0" collapsed="false">
      <c r="A10" s="43" t="s">
        <v>511</v>
      </c>
      <c r="B10" s="1" t="s">
        <v>331</v>
      </c>
      <c r="C10" s="1" t="s">
        <v>50</v>
      </c>
      <c r="D10" s="45" t="s">
        <v>21</v>
      </c>
    </row>
    <row r="11" customFormat="false" ht="14.25" hidden="false" customHeight="false" outlineLevel="0" collapsed="false">
      <c r="A11" s="43" t="s">
        <v>511</v>
      </c>
      <c r="B11" s="1" t="s">
        <v>361</v>
      </c>
      <c r="C11" s="1" t="s">
        <v>21</v>
      </c>
      <c r="D11" s="45" t="s">
        <v>51</v>
      </c>
    </row>
    <row r="12" customFormat="false" ht="14.25" hidden="false" customHeight="false" outlineLevel="0" collapsed="false">
      <c r="A12" s="43" t="s">
        <v>511</v>
      </c>
      <c r="B12" s="1" t="s">
        <v>364</v>
      </c>
      <c r="C12" s="1" t="s">
        <v>51</v>
      </c>
      <c r="D12" s="45" t="s">
        <v>51</v>
      </c>
    </row>
    <row r="13" customFormat="false" ht="14.25" hidden="false" customHeight="false" outlineLevel="0" collapsed="false">
      <c r="A13" s="43" t="s">
        <v>511</v>
      </c>
      <c r="B13" s="1" t="s">
        <v>367</v>
      </c>
      <c r="C13" s="1" t="s">
        <v>51</v>
      </c>
      <c r="D13" s="45" t="s">
        <v>51</v>
      </c>
    </row>
    <row r="14" customFormat="false" ht="14.25" hidden="false" customHeight="false" outlineLevel="0" collapsed="false">
      <c r="A14" s="43" t="s">
        <v>511</v>
      </c>
      <c r="B14" s="1" t="s">
        <v>370</v>
      </c>
      <c r="C14" s="1" t="s">
        <v>51</v>
      </c>
      <c r="D14" s="45" t="s">
        <v>48</v>
      </c>
    </row>
    <row r="15" customFormat="false" ht="14.25" hidden="false" customHeight="false" outlineLevel="0" collapsed="false">
      <c r="A15" s="43" t="s">
        <v>511</v>
      </c>
      <c r="B15" s="1" t="s">
        <v>379</v>
      </c>
      <c r="C15" s="1" t="s">
        <v>48</v>
      </c>
      <c r="D15" s="45" t="s">
        <v>48</v>
      </c>
    </row>
    <row r="16" customFormat="false" ht="14.25" hidden="false" customHeight="false" outlineLevel="0" collapsed="false">
      <c r="A16" s="43" t="s">
        <v>511</v>
      </c>
      <c r="B16" s="1" t="s">
        <v>381</v>
      </c>
      <c r="C16" s="1" t="s">
        <v>48</v>
      </c>
      <c r="D16" s="45" t="s">
        <v>63</v>
      </c>
    </row>
    <row r="17" customFormat="false" ht="14.25" hidden="false" customHeight="false" outlineLevel="0" collapsed="false">
      <c r="A17" s="43" t="s">
        <v>511</v>
      </c>
      <c r="B17" s="1" t="s">
        <v>394</v>
      </c>
      <c r="C17" s="1" t="s">
        <v>63</v>
      </c>
      <c r="D17" s="45" t="s">
        <v>63</v>
      </c>
    </row>
    <row r="18" customFormat="false" ht="14.25" hidden="false" customHeight="false" outlineLevel="0" collapsed="false">
      <c r="A18" s="43" t="s">
        <v>511</v>
      </c>
      <c r="B18" s="1" t="s">
        <v>397</v>
      </c>
      <c r="C18" s="1" t="s">
        <v>63</v>
      </c>
      <c r="D18" s="45" t="s">
        <v>48</v>
      </c>
    </row>
    <row r="19" customFormat="false" ht="14.25" hidden="false" customHeight="false" outlineLevel="0" collapsed="false">
      <c r="A19" s="43" t="s">
        <v>511</v>
      </c>
      <c r="B19" s="1" t="s">
        <v>415</v>
      </c>
      <c r="C19" s="1" t="s">
        <v>48</v>
      </c>
      <c r="D19" s="45" t="s">
        <v>48</v>
      </c>
    </row>
    <row r="20" customFormat="false" ht="14.25" hidden="false" customHeight="false" outlineLevel="0" collapsed="false">
      <c r="A20" s="46" t="s">
        <v>241</v>
      </c>
      <c r="B20" s="47" t="s">
        <v>391</v>
      </c>
      <c r="C20" s="47" t="s">
        <v>48</v>
      </c>
      <c r="D20" s="48" t="s">
        <v>504</v>
      </c>
    </row>
    <row r="21" customFormat="false" ht="14.25" hidden="false" customHeight="false" outlineLevel="0" collapsed="false">
      <c r="A21" s="1"/>
      <c r="B21" s="1"/>
      <c r="C21" s="1"/>
      <c r="D21" s="1"/>
    </row>
    <row r="22" customFormat="false" ht="14.25" hidden="false" customHeight="false" outlineLevel="0" collapsed="false">
      <c r="A22" s="40" t="s">
        <v>513</v>
      </c>
      <c r="B22" s="41" t="s">
        <v>423</v>
      </c>
      <c r="C22" s="41" t="s">
        <v>504</v>
      </c>
      <c r="D22" s="42" t="s">
        <v>51</v>
      </c>
    </row>
    <row r="23" customFormat="false" ht="14.25" hidden="false" customHeight="false" outlineLevel="0" collapsed="false">
      <c r="A23" s="43" t="s">
        <v>513</v>
      </c>
      <c r="B23" s="1" t="s">
        <v>517</v>
      </c>
      <c r="C23" s="1" t="s">
        <v>51</v>
      </c>
      <c r="D23" s="45" t="s">
        <v>31</v>
      </c>
    </row>
    <row r="24" customFormat="false" ht="14.25" hidden="false" customHeight="false" outlineLevel="0" collapsed="false">
      <c r="A24" s="43" t="s">
        <v>513</v>
      </c>
      <c r="B24" s="1" t="s">
        <v>462</v>
      </c>
      <c r="C24" s="1" t="s">
        <v>31</v>
      </c>
      <c r="D24" s="45" t="s">
        <v>31</v>
      </c>
    </row>
    <row r="25" customFormat="false" ht="14.25" hidden="false" customHeight="false" outlineLevel="0" collapsed="false">
      <c r="A25" s="43" t="s">
        <v>513</v>
      </c>
      <c r="B25" s="1" t="s">
        <v>465</v>
      </c>
      <c r="C25" s="1" t="s">
        <v>31</v>
      </c>
      <c r="D25" s="50" t="s">
        <v>470</v>
      </c>
    </row>
    <row r="26" customFormat="false" ht="14.25" hidden="false" customHeight="false" outlineLevel="0" collapsed="false">
      <c r="A26" s="43" t="s">
        <v>513</v>
      </c>
      <c r="B26" s="1" t="s">
        <v>441</v>
      </c>
      <c r="C26" s="51" t="s">
        <v>470</v>
      </c>
      <c r="D26" s="45" t="s">
        <v>66</v>
      </c>
    </row>
    <row r="27" customFormat="false" ht="14.25" hidden="false" customHeight="false" outlineLevel="0" collapsed="false">
      <c r="A27" s="46" t="s">
        <v>513</v>
      </c>
      <c r="B27" s="47" t="s">
        <v>478</v>
      </c>
      <c r="C27" s="47" t="s">
        <v>66</v>
      </c>
      <c r="D27" s="48" t="s">
        <v>504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PsEAABQSwMEFAACAAgAGF9kWxvsCUWjAAAA9gAAABIAHABDb25maWcvUGFja2FnZS54bWwgohgAKKAUAAAAAAAAAAAAAAAAAAAAAAAAAAAAhY8xDoIwGIWvQrrTlupAyE8ZXCUxaoxrUys0QjFtsdzNwSN5BTGKujm+733De/frDYqhbaKLsk53JkcJpihSRnYHbaoc9f4Yp6jgsBLyJCoVjbJx2eAOOaq9P2eEhBBwmOHOVoRRmpB9udzIWrUCfWT9X461cV4YqRCH3WsMZziZp5jRcROQCUKpzVdgY/dsfyAs+sb3VnFv4+0ayBSBvD/wB1BLAwQUAAIACAAYX2Rb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GF9kW023apf2AQAAlQUAABMAHABGb3JtdWxhcy9TZWN0aW9uMS5tIKIYACigFAAAAAAAAAAAAAAAAAAAAAAAAAAAAK1UwWrbQBC9G/wPw/ZQCYxdh5JLyCWqS4uJKbVKDyGUsTKtF+2uzGoFcYy/xceefc8tyn91ZNmpXMkih+5lxcx7b97MDkopcjIxMC3v4UW30+2kc7R0BylZqeESFLluB/iMcWkw5sjoPiLVDzJrybjviY1nSRJ7/upmgpouxY4obtc3QWIcI257Jf+N+ED5Rj5vnLRSkYHw6dEK1gtxpqgfWjTpz8TqIFGZNuFyQalX1uytViJEK+eiB47jcIeOnNS07sFKjJmewMjJmGMHhKN7t8tOiJsh0xhfUi1cioVyUVe6xhgtwiTTfKX59hTg20NmVJZvMgZ8Nu78fb/opYq4wueNQvMr3z79Pg2SjmdVT1fJMFKk0TR4OUKNdT2/U2/hl/kG5id0MIQBFPdZ3d4obiLtexoje9oPKK5zp8XmeNo/zqz9lwUKScsHXh1deLvm5zYn9yf1mvet2KWGlwzZaT9QhKZqvVJ6nG/tIt8qnW9fVbvBalvpkDt/feVha+kmq/+v9llL7VbLe9FGI2UKgDCal6a+0kJhRN4hczhHyb+v5v3weyCAWxKCv4ozGIBhb6ggXTD4reLtglSqfxUD/t9h5Mj2P9pEs6kZWW94/q4QFEdIVpxcTb/ALgtFDzHTCl1TU/ZfeqoMttvxux1pWqd78QdQSwECLQAUAAIACAAYX2RbG+wJRaMAAAD2AAAAEgAAAAAAAAAAAAAAAAAAAAAAQ29uZmlnL1BhY2thZ2UueG1sUEsBAi0AFAACAAgAGF9kWw/K6aukAAAA6QAAABMAAAAAAAAAAAAAAAAA7wAAAFtDb250ZW50X1R5cGVzXS54bWxQSwECLQAUAAIACAAYX2RbTbdql/YBAACVBQAAEwAAAAAAAAAAAAAAAADgAQAARm9ybXVsYXMvU2VjdGlvbjEubVBLBQYAAAAAAwADAMIAAAAjBAAAAAAQAQAA77u/PD94bWwgdmVyc2lvbj0iMS4wIiBlbmNvZGluZz0idXRmLTgi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5iFAAAAAAAAEAUAADvu788P3htbCB2ZXJzaW9uPSIxLjAiIGVuY29kaW5nPSJ1dGYtOCI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yAvPjwvSXRlbT48SXRlbT48SXRlbUxvY2F0aW9uPjxJdGVtVHlwZT5Gb3JtdWxhPC9JdGVtVHlwZT48SXRlbVBhdGg+U2VjdGlvbjEvc2VyaW08L0l0ZW1QYXRoPjwvSXRlbUxvY2F0aW9uPjxTdGFibGVFbnRyaWVzPjxFbnRyeSBUeXBlPSJJc1ByaXZhdGUiIFZhbHVlPSJsMCIgLz48RW50cnkgVHlwZT0iUXVlcnlJRCIgVmFsdWU9InM4Y2QwNzU4ZC04NmMxLTRlZjQtYTM4MS0wMmJiMTNlOWFkZWQiIC8+PEVudHJ5IFR5cGU9IkZpbGxFbmFibGVkIiBWYWx1ZT0ibDAiIC8+PEVudHJ5IFR5cGU9IkZpbGxPYmplY3RUeXBlIiBWYWx1ZT0ic0Nvbm5lY3Rpb25Pbmx5IiAvPjxFbnRyeSBUeXBlPSJGaWxsVG9EYXRhTW9kZWxFbmFibGVkIiBWYWx1ZT0ibDAiIC8+PEVudHJ5IFR5cGU9IkJ1ZmZlck5leHRSZWZyZXNoIiBWYWx1ZT0ibDEiIC8+PEVudHJ5IFR5cGU9IlJlc3VsdFR5cGUiIFZhbHVlPSJzVGFibGUiIC8+PEVudHJ5IFR5cGU9Ik5hbWVVcGRhdGVkQWZ0ZXJGaWxsIiBWYWx1ZT0ibDAiIC8+PEVudHJ5IFR5cGU9Ik5hdmlnYXRpb25TdGVwTmFtZSIgVmFsdWU9InNHZXppbm1lIiAvPjxFbnRyeSBUeXBlPSJGaWxsZWRDb21wbGV0ZVJlc3VsdFRvV29ya3NoZWV0IiBWYWx1ZT0ibDEiIC8+PEVudHJ5IFR5cGU9IkFkZGVkVG9EYXRhTW9kZWwiIFZhbHVlPSJsMCIgLz48RW50cnkgVHlwZT0iRmlsbENvdW50IiBWYWx1ZT0ibDQ3IiAvPjxFbnRyeSBUeXBlPSJGaWxsRXJyb3JDb2RlIiBWYWx1ZT0ic1Vua25vd24iIC8+PEVudHJ5IFR5cGU9IkZpbGxFcnJvckNvdW50IiBWYWx1ZT0ibDAiIC8+PEVudHJ5IFR5cGU9IkZpbGxMYXN0VXBkYXRlZCIgVmFsdWU9ImQyMDI1LTExLTA0VDA4OjUwOjA0LjA2ODAyNzhaIiAvPjxFbnRyeSBUeXBlPSJGaWxsQ29sdW1uVHlwZXMiIFZhbHVlPSJzQndZR0JnWUdBd01EQmdZR0JnTUdBd009IiAvPjxFbnRyeSBUeXBlPSJGaWxsQ29sdW1uTmFtZXMiIFZhbHVlPSJzWyZxdW90O1RhcmloJnF1b3Q7LCZxdW90O0thYmxvIEV0aWtldGkmcXVvdDssJnF1b3Q7TmVyZWRlbiZxdW90OywmcXVvdDtOZXJleWUmcXVvdDssJnF1b3Q7S2FibG8gVGlwaSZxdW90OywmcXVvdDtNYWthcmEgTnVtYXJhc8SxJnF1b3Q7LCZxdW90O01ha2FyYSBVenVubHXEn3UmcXVvdDssJnF1b3Q7TWFrYXJhIEJhxZ9sYW5nxLHDpyZxdW90OywmcXVvdDtNYWthcmEgQml0acWfJnF1b3Q7LCZxdW90O0JhxZ9sYW5nxLHDpyBFbGVtYW7EsSZxdW90OywmcXVvdDtCYcWfbGFuZ8Sxw6cgS20mcXVvdDssJnF1b3Q7Qml0acWfIEVsZW1hbsSxJnF1b3Q7LCZxdW90O0JpdGnFnyBLbSZxdW90OywmcXVvdDtIYXQgMSAvIEhhdCAyJnF1b3Q7LCZxdW90O0VrIEttJnF1b3Q7LCZxdW90O01ha2FyYSBLYWxhbiBVenVubHVrJnF1b3Q7LCZxdW90O1NlcmltKG0pJnF1b3Q7XSIgLz48RW50cnkgVHlwZT0iRmlsbFN0YXR1cyIgVmFsdWU9InNDb21wbGV0ZSIgLz48RW50cnkgVHlwZT0iUmVsYXRpb25zaGlwSW5mb0NvbnRhaW5lciIgVmFsdWU9InN7JnF1b3Q7Y29sdW1uQ291bnQmcXVvdDs6MTcsJnF1b3Q7a2V5Q29sdW1uTmFtZXMmcXVvdDs6W10sJnF1b3Q7cXVlcnlSZWxhdGlvbnNoaXBzJnF1b3Q7OltdLCZxdW90O2NvbHVtbklkZW50aXRpZXMmcXVvdDs6WyZxdW90O1NlY3Rpb24xL3NlcmltL0F1dG9SZW1vdmVkQ29sdW1uczEue1RhcmloLDB9JnF1b3Q7LCZxdW90O1NlY3Rpb24xL3NlcmltL0F1dG9SZW1vdmVkQ29sdW1uczEue0thYmxvIEV0aWtldGksMX0mcXVvdDssJnF1b3Q7U2VjdGlvbjEvc2VyaW0vQXV0b1JlbW92ZWRDb2x1bW5zMS57TmVyZWRlbiwyfSZxdW90OywmcXVvdDtTZWN0aW9uMS9zZXJpbS9BdXRvUmVtb3ZlZENvbHVtbnMxLntOZXJleWUsM30mcXVvdDssJnF1b3Q7U2VjdGlvbjEvc2VyaW0vQXV0b1JlbW92ZWRDb2x1bW5zMS57S2FibG8gVGlwaSw0fSZxdW90OywmcXVvdDtTZWN0aW9uMS9zZXJpbS9BdXRvUmVtb3ZlZENvbHVtbnMxLntNYWthcmEgTnVtYXJhc8SxLDV9JnF1b3Q7LCZxdW90O1NlY3Rpb24xL3NlcmltL0F1dG9SZW1vdmVkQ29sdW1uczEue01ha2FyYSBVenVubHXEn3UsNn0mcXVvdDssJnF1b3Q7U2VjdGlvbjEvc2VyaW0vQXV0b1JlbW92ZWRDb2x1bW5zMS57TWFrYXJhIEJhxZ9sYW5nxLHDpyw3fSZxdW90OywmcXVvdDtTZWN0aW9uMS9zZXJpbS9BdXRvUmVtb3ZlZENvbHVtbnMxLntNYWthcmEgQml0acWfLDh9JnF1b3Q7LCZxdW90O1NlY3Rpb24xL3NlcmltL0F1dG9SZW1vdmVkQ29sdW1uczEue0JhxZ9sYW5nxLHDpyBFbGVtYW7EsSw5fSZxdW90OywmcXVvdDtTZWN0aW9uMS9zZXJpbS9BdXRvUmVtb3ZlZENvbHVtbnMxLntCYcWfbGFuZ8Sxw6cgS20sMTB9JnF1b3Q7LCZxdW90O1NlY3Rpb24xL3NlcmltL0F1dG9SZW1vdmVkQ29sdW1uczEue0JpdGnFnyBFbGVtYW7EsSwxMX0mcXVvdDssJnF1b3Q7U2VjdGlvbjEvc2VyaW0vQXV0b1JlbW92ZWRDb2x1bW5zMS57Qml0acWfIEttLDEyfSZxdW90OywmcXVvdDtTZWN0aW9uMS9zZXJpbS9BdXRvUmVtb3ZlZENvbHVtbnMxLntIYXQgMSAvIEhhdCAyLDEzfSZxdW90OywmcXVvdDtTZWN0aW9uMS9zZXJpbS9BdXRvUmVtb3ZlZENvbHVtbnMxLntFayBLbSwxNH0mcXVvdDssJnF1b3Q7U2VjdGlvbjEvc2VyaW0vQXV0b1JlbW92ZWRDb2x1bW5zMS57TWFrYXJhIEthbGFuIFV6dW5sdWssMTV9JnF1b3Q7LCZxdW90O1NlY3Rpb24xL3NlcmltL0F1dG9SZW1vdmVkQ29sdW1uczEue1NlcmltKG0pLDE2fSZxdW90O10sJnF1b3Q7Q29sdW1uQ291bnQmcXVvdDs6MTcsJnF1b3Q7S2V5Q29sdW1uTmFtZXMmcXVvdDs6W10sJnF1b3Q7Q29sdW1uSWRlbnRpdGllcyZxdW90OzpbJnF1b3Q7U2VjdGlvbjEvc2VyaW0vQXV0b1JlbW92ZWRDb2x1bW5zMS57VGFyaWgsMH0mcXVvdDssJnF1b3Q7U2VjdGlvbjEvc2VyaW0vQXV0b1JlbW92ZWRDb2x1bW5zMS57S2FibG8gRXRpa2V0aSwxfSZxdW90OywmcXVvdDtTZWN0aW9uMS9zZXJpbS9BdXRvUmVtb3ZlZENvbHVtbnMxLntOZXJlZGVuLDJ9JnF1b3Q7LCZxdW90O1NlY3Rpb24xL3NlcmltL0F1dG9SZW1vdmVkQ29sdW1uczEue05lcmV5ZSwzfSZxdW90OywmcXVvdDtTZWN0aW9uMS9zZXJpbS9BdXRvUmVtb3ZlZENvbHVtbnMxLntLYWJsbyBUaXBpLDR9JnF1b3Q7LCZxdW90O1NlY3Rpb24xL3NlcmltL0F1dG9SZW1vdmVkQ29sdW1uczEue01ha2FyYSBOdW1hcmFzxLEsNX0mcXVvdDssJnF1b3Q7U2VjdGlvbjEvc2VyaW0vQXV0b1JlbW92ZWRDb2x1bW5zMS57TWFrYXJhIFV6dW5sdcSfdSw2fSZxdW90OywmcXVvdDtTZWN0aW9uMS9zZXJpbS9BdXRvUmVtb3ZlZENvbHVtbnMxLntNYWthcmEgQmHFn2xhbmfEscOnLDd9JnF1b3Q7LCZxdW90O1NlY3Rpb24xL3NlcmltL0F1dG9SZW1vdmVkQ29sdW1uczEue01ha2FyYSBCaXRpxZ8sOH0mcXVvdDssJnF1b3Q7U2VjdGlvbjEvc2VyaW0vQXV0b1JlbW92ZWRDb2x1bW5zMS57QmHFn2xhbmfEscOnIEVsZW1hbsSxLDl9JnF1b3Q7LCZxdW90O1NlY3Rpb24xL3NlcmltL0F1dG9SZW1vdmVkQ29sdW1uczEue0JhxZ9sYW5nxLHDpyBLbSwxMH0mcXVvdDssJnF1b3Q7U2VjdGlvbjEvc2VyaW0vQXV0b1JlbW92ZWRDb2x1bW5zMS57Qml0acWfIEVsZW1hbsSxLDExfSZxdW90OywmcXVvdDtTZWN0aW9uMS9zZXJpbS9BdXRvUmVtb3ZlZENvbHVtbnMxLntCaXRpxZ8gS20sMTJ9JnF1b3Q7LCZxdW90O1NlY3Rpb24xL3NlcmltL0F1dG9SZW1vdmVkQ29sdW1uczEue0hhdCAxIC8gSGF0IDIsMTN9JnF1b3Q7LCZxdW90O1NlY3Rpb24xL3NlcmltL0F1dG9SZW1vdmVkQ29sdW1uczEue0VrIEttLDE0fSZxdW90OywmcXVvdDtTZWN0aW9uMS9zZXJpbS9BdXRvUmVtb3ZlZENvbHVtbnMxLntNYWthcmEgS2FsYW4gVXp1bmx1aywxNX0mcXVvdDssJnF1b3Q7U2VjdGlvbjEvc2VyaW0vQXV0b1JlbW92ZWRDb2x1bW5zMS57U2VyaW0obSksMTZ9JnF1b3Q7XSwmcXVvdDtSZWxhdGlvbnNoaXBJbmZvJnF1b3Q7OltdfSIgLz48L1N0YWJsZUVudHJpZXM+PC9JdGVtPjxJdGVtPjxJdGVtTG9jYXRpb24+PEl0ZW1UeXBlPkZvcm11bGE8L0l0ZW1UeXBlPjxJdGVtUGF0aD5TZWN0aW9uMS9zZXJpbS9LYXluYWs8L0l0ZW1QYXRoPjwvSXRlbUxvY2F0aW9uPjxTdGFibGVFbnRyaWVzIC8+PC9JdGVtPjxJdGVtPjxJdGVtTG9jYXRpb24+PEl0ZW1UeXBlPkZvcm11bGE8L0l0ZW1UeXBlPjxJdGVtUGF0aD5TZWN0aW9uMS9zZXJpbS9EZSVDNCU5RmklQzUlOUZ0aXJpbGVuJTIwVCVDMyVCQ3I8L0l0ZW1QYXRoPjwvSXRlbUxvY2F0aW9uPjxTdGFibGVFbnRyaWVzIC8+PC9JdGVtPjxJdGVtPjxJdGVtTG9jYXRpb24+PEl0ZW1UeXBlPkZvcm11bGE8L0l0ZW1UeXBlPjxJdGVtUGF0aD5TZWN0aW9uMS9zZXJpbS9UZW1pemxlbm1pJUM1JTlGJTIwTWV0aW48L0l0ZW1QYXRoPjwvSXRlbUxvY2F0aW9uPjxTdGFibGVFbnRyaWVzIC8+PC9JdGVtPjxJdGVtPjxJdGVtTG9jYXRpb24+PEl0ZW1UeXBlPkZvcm11bGE8L0l0ZW1UeXBlPjxJdGVtUGF0aD5TZWN0aW9uMS9zZXJpbS9LJUM0JUIxcnAlQzQlQjFsbSVDNCVCMSVDNSU5RiUyME1ldGluPC9JdGVtUGF0aD48L0l0ZW1Mb2NhdGlvbj48U3RhYmxlRW50cmllcyAvPjwvSXRlbT48SXRlbT48SXRlbUxvY2F0aW9uPjxJdGVtVHlwZT5Gb3JtdWxhPC9JdGVtVHlwZT48SXRlbVBhdGg+U2VjdGlvbjEvc2VyaW0vSyVDNCVCMXJwJUM0JUIxbG0lQzQlQjElQzUlOUYlMjBNZXRpbjE8L0l0ZW1QYXRoPjwvSXRlbUxvY2F0aW9uPjxTdGFibGVFbnRyaWVzIC8+PC9JdGVtPjxJdGVtPjxJdGVtTG9jYXRpb24+PEl0ZW1UeXBlPkZvcm11bGE8L0l0ZW1UeXBlPjxJdGVtUGF0aD5TZWN0aW9uMS9zZXJpbS9LJUM0JUIxcnAlQzQlQjFsbSVDNCVCMSVDNSU5RiUyME1ldGluMjwvSXRlbVBhdGg+PC9JdGVtTG9jYXRpb24+PFN0YWJsZUVudHJpZXMgLz48L0l0ZW0+PC9JdGVtcz48L0xvY2FsUGFja2FnZU1ldGFkYXRhRmlsZT4WAAAAUEsFBgAAAAAAAAAAAAAAAAAAAAAAACYBAAABAAAA0Iyd3wEV0RGMegDAT8KX6wEAAADaSFBl4VGeR5fbjJNJq3U3AAAAAAIAAAAAABBmAAAAAQAAIAAAAFpNzGc+t86UwbK9YJoLuRkGOUmh374jcZmLnMvrjlVMAAAAAA6AAAAAAgAAIAAAAEZJOHfG4cCzWvRJGf4PDyNSph1iRUYnttqvKLiGU6DuUAAAABBDaCj4OPxJp6zrk5JxyOSQpLUUPz4v49KTojpG7m+z7k7xfDizLpcWq8TDgUVbqfeY1A9otimx6f2nOJYM26D9cypHE4y3JdZB36nG+4f8QAAAALvTUrjNRtIWgp1O+P7lyXL4IUbpy9xd5i9svKGA8HrU6cSdxvq05KrzkAGLbqxUfYdRWb7+MiKAbi4oSlJuUA4=</DataMashup>
</file>

<file path=customXml/itemProps1.xml><?xml version="1.0" encoding="utf-8"?>
<ds:datastoreItem xmlns:ds="http://schemas.openxmlformats.org/officeDocument/2006/customXml" ds:itemID="{D47AA272-0A02-407D-9D23-81232134B5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LibreOffice/25.8.2.1$Windows_X86_64 LibreOffice_project/345526217a4027cb1b9ab39bd7153c8c141a1d64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Furkan IBIS</dc:creator>
  <dc:description/>
  <dc:language>en-US</dc:language>
  <cp:lastModifiedBy/>
  <dcterms:modified xsi:type="dcterms:W3CDTF">2025-12-01T07:56:12Z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8ea6fd-ecf8-40a0-9960-a6e4f34bd79a_ActionId">
    <vt:lpwstr>45380a31-1893-44f0-a6a5-2212ab9a0671</vt:lpwstr>
  </property>
  <property fmtid="{D5CDD505-2E9C-101B-9397-08002B2CF9AE}" pid="3" name="MSIP_Label_2f8ea6fd-ecf8-40a0-9960-a6e4f34bd79a_ContentBits">
    <vt:lpwstr>3</vt:lpwstr>
  </property>
  <property fmtid="{D5CDD505-2E9C-101B-9397-08002B2CF9AE}" pid="4" name="MSIP_Label_2f8ea6fd-ecf8-40a0-9960-a6e4f34bd79a_Enabled">
    <vt:lpwstr>true</vt:lpwstr>
  </property>
  <property fmtid="{D5CDD505-2E9C-101B-9397-08002B2CF9AE}" pid="5" name="MSIP_Label_2f8ea6fd-ecf8-40a0-9960-a6e4f34bd79a_Method">
    <vt:lpwstr>Privileged</vt:lpwstr>
  </property>
  <property fmtid="{D5CDD505-2E9C-101B-9397-08002B2CF9AE}" pid="6" name="MSIP_Label_2f8ea6fd-ecf8-40a0-9960-a6e4f34bd79a_Name">
    <vt:lpwstr>Çok Gizli (Top Secret)</vt:lpwstr>
  </property>
  <property fmtid="{D5CDD505-2E9C-101B-9397-08002B2CF9AE}" pid="7" name="MSIP_Label_2f8ea6fd-ecf8-40a0-9960-a6e4f34bd79a_SetDate">
    <vt:lpwstr>2025-11-06T07:56:17Z</vt:lpwstr>
  </property>
  <property fmtid="{D5CDD505-2E9C-101B-9397-08002B2CF9AE}" pid="8" name="MSIP_Label_2f8ea6fd-ecf8-40a0-9960-a6e4f34bd79a_SiteId">
    <vt:lpwstr>acbfa263-309d-4a52-b05d-64dc66c01131</vt:lpwstr>
  </property>
  <property fmtid="{D5CDD505-2E9C-101B-9397-08002B2CF9AE}" pid="9" name="MSIP_Label_2f8ea6fd-ecf8-40a0-9960-a6e4f34bd79a_Tag">
    <vt:lpwstr>10, 0, 1, 1</vt:lpwstr>
  </property>
</Properties>
</file>