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fibis\Desktop\"/>
    </mc:Choice>
  </mc:AlternateContent>
  <xr:revisionPtr revIDLastSave="0" documentId="13_ncr:1_{4C2A69C5-0E92-4CB3-A111-22D3443FAF4A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Genel Özet" sheetId="4" r:id="rId1"/>
    <sheet name="FO GELEN" sheetId="1" r:id="rId2"/>
    <sheet name="FO SERİM" sheetId="2" r:id="rId3"/>
    <sheet name="Hat 1 - 288 EK" sheetId="5" r:id="rId4"/>
    <sheet name="Hat 2 - 288 EK" sheetId="6" r:id="rId5"/>
    <sheet name="Hat 1 - 24 EK" sheetId="7" r:id="rId6"/>
    <sheet name="Hat 2 - 24 EK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1" i="2" l="1"/>
  <c r="U111" i="2"/>
  <c r="T108" i="2"/>
  <c r="T109" i="2"/>
  <c r="T107" i="2"/>
  <c r="U108" i="2"/>
  <c r="U109" i="2"/>
  <c r="U107" i="2"/>
  <c r="T110" i="2"/>
  <c r="U110" i="2"/>
  <c r="U99" i="2"/>
  <c r="T99" i="2"/>
  <c r="U92" i="2"/>
  <c r="T92" i="2"/>
  <c r="U91" i="2"/>
  <c r="T91" i="2"/>
  <c r="U75" i="2"/>
  <c r="T75" i="2"/>
  <c r="U67" i="2"/>
  <c r="T67" i="2"/>
  <c r="U66" i="2"/>
  <c r="T66" i="2"/>
  <c r="U58" i="2"/>
  <c r="T58" i="2"/>
  <c r="U56" i="2"/>
  <c r="T56" i="2"/>
  <c r="U47" i="2"/>
  <c r="T47" i="2"/>
  <c r="U45" i="2"/>
  <c r="T45" i="2"/>
  <c r="U44" i="2"/>
  <c r="T44" i="2"/>
  <c r="U32" i="2"/>
  <c r="T32" i="2"/>
  <c r="U27" i="2"/>
  <c r="T27" i="2"/>
  <c r="U24" i="2"/>
  <c r="T24" i="2"/>
  <c r="U18" i="2"/>
  <c r="T18" i="2"/>
  <c r="U12" i="2"/>
  <c r="T12" i="2"/>
  <c r="U10" i="2"/>
  <c r="T10" i="2"/>
  <c r="U6" i="2"/>
  <c r="T6" i="2"/>
  <c r="U2" i="2"/>
  <c r="U14" i="2"/>
  <c r="U4" i="2"/>
  <c r="U19" i="2"/>
  <c r="U13" i="2"/>
  <c r="U11" i="2"/>
  <c r="U9" i="2"/>
  <c r="U8" i="2"/>
  <c r="U7" i="2"/>
  <c r="U3" i="2"/>
  <c r="U15" i="2"/>
  <c r="U16" i="2"/>
  <c r="U17" i="2"/>
  <c r="U25" i="2"/>
  <c r="U21" i="2"/>
  <c r="U20" i="2"/>
  <c r="U5" i="2"/>
  <c r="U23" i="2"/>
  <c r="U26" i="2"/>
  <c r="U28" i="2"/>
  <c r="U29" i="2"/>
  <c r="U34" i="2"/>
  <c r="U30" i="2"/>
  <c r="U31" i="2"/>
  <c r="U33" i="2"/>
  <c r="U35" i="2"/>
  <c r="U36" i="2"/>
  <c r="U39" i="2"/>
  <c r="U37" i="2"/>
  <c r="U38" i="2"/>
  <c r="U43" i="2"/>
  <c r="U41" i="2"/>
  <c r="U40" i="2"/>
  <c r="U42" i="2"/>
  <c r="U50" i="2"/>
  <c r="U46" i="2"/>
  <c r="U48" i="2"/>
  <c r="U49" i="2"/>
  <c r="U51" i="2"/>
  <c r="U54" i="2"/>
  <c r="U53" i="2"/>
  <c r="U52" i="2"/>
  <c r="U55" i="2"/>
  <c r="U61" i="2"/>
  <c r="U57" i="2"/>
  <c r="U59" i="2"/>
  <c r="U60" i="2"/>
  <c r="U72" i="2"/>
  <c r="U62" i="2"/>
  <c r="U63" i="2"/>
  <c r="U64" i="2"/>
  <c r="U65" i="2"/>
  <c r="U68" i="2"/>
  <c r="U69" i="2"/>
  <c r="U70" i="2"/>
  <c r="U71" i="2"/>
  <c r="U22" i="2"/>
  <c r="U73" i="2"/>
  <c r="U74" i="2"/>
  <c r="U76" i="2"/>
  <c r="U77" i="2"/>
  <c r="U86" i="2"/>
  <c r="U78" i="2"/>
  <c r="U81" i="2"/>
  <c r="U79" i="2"/>
  <c r="U80" i="2"/>
  <c r="U83" i="2"/>
  <c r="U84" i="2"/>
  <c r="U85" i="2"/>
  <c r="U87" i="2"/>
  <c r="U82" i="2"/>
  <c r="U88" i="2"/>
  <c r="U90" i="2"/>
  <c r="U95" i="2"/>
  <c r="U93" i="2"/>
  <c r="U97" i="2"/>
  <c r="U96" i="2"/>
  <c r="U102" i="2"/>
  <c r="U105" i="2"/>
  <c r="U98" i="2"/>
  <c r="U100" i="2"/>
  <c r="U101" i="2"/>
  <c r="U94" i="2"/>
  <c r="U103" i="2"/>
  <c r="U104" i="2"/>
  <c r="U89" i="2"/>
  <c r="U106" i="2"/>
  <c r="T2" i="2"/>
  <c r="T14" i="2"/>
  <c r="T4" i="2"/>
  <c r="T19" i="2"/>
  <c r="T13" i="2"/>
  <c r="T11" i="2"/>
  <c r="T9" i="2"/>
  <c r="T8" i="2"/>
  <c r="T7" i="2"/>
  <c r="T3" i="2"/>
  <c r="T15" i="2"/>
  <c r="T16" i="2"/>
  <c r="T17" i="2"/>
  <c r="T25" i="2"/>
  <c r="T21" i="2"/>
  <c r="T20" i="2"/>
  <c r="T5" i="2"/>
  <c r="T23" i="2"/>
  <c r="T26" i="2"/>
  <c r="T28" i="2"/>
  <c r="T29" i="2"/>
  <c r="T34" i="2"/>
  <c r="T30" i="2"/>
  <c r="T31" i="2"/>
  <c r="T33" i="2"/>
  <c r="T35" i="2"/>
  <c r="T36" i="2"/>
  <c r="T39" i="2"/>
  <c r="T37" i="2"/>
  <c r="T38" i="2"/>
  <c r="T43" i="2"/>
  <c r="T41" i="2"/>
  <c r="T40" i="2"/>
  <c r="T42" i="2"/>
  <c r="T50" i="2"/>
  <c r="T46" i="2"/>
  <c r="T48" i="2"/>
  <c r="T49" i="2"/>
  <c r="T51" i="2"/>
  <c r="T54" i="2"/>
  <c r="T53" i="2"/>
  <c r="T52" i="2"/>
  <c r="T55" i="2"/>
  <c r="T61" i="2"/>
  <c r="T57" i="2"/>
  <c r="T59" i="2"/>
  <c r="T60" i="2"/>
  <c r="T72" i="2"/>
  <c r="T62" i="2"/>
  <c r="T63" i="2"/>
  <c r="T64" i="2"/>
  <c r="T65" i="2"/>
  <c r="T68" i="2"/>
  <c r="T69" i="2"/>
  <c r="T70" i="2"/>
  <c r="T71" i="2"/>
  <c r="T22" i="2"/>
  <c r="T73" i="2"/>
  <c r="T74" i="2"/>
  <c r="T76" i="2"/>
  <c r="T77" i="2"/>
  <c r="T86" i="2"/>
  <c r="T78" i="2"/>
  <c r="T81" i="2"/>
  <c r="T79" i="2"/>
  <c r="T80" i="2"/>
  <c r="T83" i="2"/>
  <c r="T84" i="2"/>
  <c r="T85" i="2"/>
  <c r="T87" i="2"/>
  <c r="T82" i="2"/>
  <c r="T88" i="2"/>
  <c r="T90" i="2"/>
  <c r="T95" i="2"/>
  <c r="T93" i="2"/>
  <c r="T97" i="2"/>
  <c r="T96" i="2"/>
  <c r="T102" i="2"/>
  <c r="T105" i="2"/>
  <c r="T98" i="2"/>
  <c r="T100" i="2"/>
  <c r="T101" i="2"/>
  <c r="T94" i="2"/>
  <c r="T103" i="2"/>
  <c r="T104" i="2"/>
  <c r="T89" i="2"/>
  <c r="T106" i="2"/>
  <c r="E2" i="4"/>
  <c r="E5" i="4"/>
  <c r="E4" i="4"/>
  <c r="E3" i="4"/>
  <c r="E9" i="1"/>
  <c r="A8" i="4" l="1"/>
  <c r="I5" i="4"/>
  <c r="I4" i="4"/>
  <c r="I3" i="4"/>
  <c r="I2" i="4"/>
  <c r="C5" i="4"/>
  <c r="G5" i="4" s="1"/>
  <c r="C4" i="4"/>
  <c r="G4" i="4" s="1"/>
  <c r="C3" i="4"/>
  <c r="G3" i="4" s="1"/>
  <c r="C2" i="4"/>
  <c r="G2" i="4" s="1"/>
  <c r="E2" i="1"/>
  <c r="E3" i="1"/>
  <c r="E4" i="1"/>
  <c r="E5" i="1"/>
  <c r="E6" i="1"/>
  <c r="E7" i="1"/>
  <c r="E8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S111" i="2" l="1" a="1"/>
  <c r="S111" i="2" s="1"/>
  <c r="S108" i="2" a="1"/>
  <c r="S108" i="2" s="1"/>
  <c r="S109" i="2" a="1"/>
  <c r="S109" i="2" s="1"/>
  <c r="S107" i="2" a="1"/>
  <c r="S107" i="2" s="1"/>
  <c r="S110" i="2" a="1"/>
  <c r="S110" i="2" s="1"/>
  <c r="S4" i="2" a="1"/>
  <c r="S4" i="2" s="1"/>
  <c r="S25" i="2" a="1"/>
  <c r="S25" i="2" s="1"/>
  <c r="S36" i="2" a="1"/>
  <c r="S36" i="2" s="1"/>
  <c r="S54" i="2" a="1"/>
  <c r="S54" i="2" s="1"/>
  <c r="S67" i="2" a="1"/>
  <c r="S67" i="2" s="1"/>
  <c r="S83" i="2" a="1"/>
  <c r="S83" i="2" s="1"/>
  <c r="S92" i="2" a="1"/>
  <c r="S92" i="2" s="1"/>
  <c r="S85" i="2" a="1"/>
  <c r="S85" i="2" s="1"/>
  <c r="S21" i="2" a="1"/>
  <c r="S21" i="2" s="1"/>
  <c r="S39" i="2" a="1"/>
  <c r="S39" i="2" s="1"/>
  <c r="S53" i="2" a="1"/>
  <c r="S53" i="2" s="1"/>
  <c r="S68" i="2" a="1"/>
  <c r="S68" i="2" s="1"/>
  <c r="S84" i="2" a="1"/>
  <c r="S84" i="2" s="1"/>
  <c r="S100" i="2" a="1"/>
  <c r="S100" i="2" s="1"/>
  <c r="S69" i="2" a="1"/>
  <c r="S69" i="2" s="1"/>
  <c r="S101" i="2" a="1"/>
  <c r="S101" i="2" s="1"/>
  <c r="S19" i="2" a="1"/>
  <c r="S19" i="2" s="1"/>
  <c r="S20" i="2" a="1"/>
  <c r="S20" i="2" s="1"/>
  <c r="S37" i="2" a="1"/>
  <c r="S37" i="2" s="1"/>
  <c r="S52" i="2" a="1"/>
  <c r="S52" i="2" s="1"/>
  <c r="S13" i="2" a="1"/>
  <c r="S13" i="2" s="1"/>
  <c r="S5" i="2" a="1"/>
  <c r="S5" i="2" s="1"/>
  <c r="S38" i="2" a="1"/>
  <c r="S38" i="2" s="1"/>
  <c r="S55" i="2" a="1"/>
  <c r="S55" i="2" s="1"/>
  <c r="S70" i="2" a="1"/>
  <c r="S70" i="2" s="1"/>
  <c r="S87" i="2" a="1"/>
  <c r="S87" i="2" s="1"/>
  <c r="S94" i="2" a="1"/>
  <c r="S94" i="2" s="1"/>
  <c r="S41" i="2" a="1"/>
  <c r="S41" i="2" s="1"/>
  <c r="S11" i="2" a="1"/>
  <c r="S11" i="2" s="1"/>
  <c r="S23" i="2" a="1"/>
  <c r="S23" i="2" s="1"/>
  <c r="S43" i="2" a="1"/>
  <c r="S43" i="2" s="1"/>
  <c r="S61" i="2" a="1"/>
  <c r="S61" i="2" s="1"/>
  <c r="S71" i="2" a="1"/>
  <c r="S71" i="2" s="1"/>
  <c r="S82" i="2" a="1"/>
  <c r="S82" i="2" s="1"/>
  <c r="S103" i="2" a="1"/>
  <c r="S103" i="2" s="1"/>
  <c r="S22" i="2" a="1"/>
  <c r="S22" i="2" s="1"/>
  <c r="S9" i="2" a="1"/>
  <c r="S9" i="2" s="1"/>
  <c r="S24" i="2" a="1"/>
  <c r="S24" i="2" s="1"/>
  <c r="S56" i="2" a="1"/>
  <c r="S56" i="2" s="1"/>
  <c r="S10" i="2" a="1"/>
  <c r="S10" i="2" s="1"/>
  <c r="S26" i="2" a="1"/>
  <c r="S26" i="2" s="1"/>
  <c r="S40" i="2" a="1"/>
  <c r="S40" i="2" s="1"/>
  <c r="S57" i="2" a="1"/>
  <c r="S57" i="2" s="1"/>
  <c r="S73" i="2" a="1"/>
  <c r="S73" i="2" s="1"/>
  <c r="S90" i="2" a="1"/>
  <c r="S90" i="2" s="1"/>
  <c r="S89" i="2" a="1"/>
  <c r="S89" i="2" s="1"/>
  <c r="S106" i="2" a="1"/>
  <c r="S106" i="2" s="1"/>
  <c r="S60" i="2" a="1"/>
  <c r="S60" i="2" s="1"/>
  <c r="S8" i="2" a="1"/>
  <c r="S8" i="2" s="1"/>
  <c r="S28" i="2" a="1"/>
  <c r="S28" i="2" s="1"/>
  <c r="S42" i="2" a="1"/>
  <c r="S42" i="2" s="1"/>
  <c r="S58" i="2" a="1"/>
  <c r="S58" i="2" s="1"/>
  <c r="S74" i="2" a="1"/>
  <c r="S74" i="2" s="1"/>
  <c r="S95" i="2" a="1"/>
  <c r="S95" i="2" s="1"/>
  <c r="S44" i="2" a="1"/>
  <c r="S44" i="2" s="1"/>
  <c r="S86" i="2" a="1"/>
  <c r="S86" i="2" s="1"/>
  <c r="S6" i="2" a="1"/>
  <c r="S6" i="2" s="1"/>
  <c r="S27" i="2" a="1"/>
  <c r="S27" i="2" s="1"/>
  <c r="S50" i="2" a="1"/>
  <c r="S50" i="2" s="1"/>
  <c r="S59" i="2" a="1"/>
  <c r="S59" i="2" s="1"/>
  <c r="S75" i="2" a="1"/>
  <c r="S75" i="2" s="1"/>
  <c r="S91" i="2" a="1"/>
  <c r="S91" i="2" s="1"/>
  <c r="S97" i="2" a="1"/>
  <c r="S97" i="2" s="1"/>
  <c r="S29" i="2" a="1"/>
  <c r="S29" i="2" s="1"/>
  <c r="S76" i="2" a="1"/>
  <c r="S76" i="2" s="1"/>
  <c r="S7" i="2" a="1"/>
  <c r="S7" i="2" s="1"/>
  <c r="S34" i="2" a="1"/>
  <c r="S34" i="2" s="1"/>
  <c r="S45" i="2" a="1"/>
  <c r="S45" i="2" s="1"/>
  <c r="S72" i="2" a="1"/>
  <c r="S72" i="2" s="1"/>
  <c r="S77" i="2" a="1"/>
  <c r="S77" i="2" s="1"/>
  <c r="S93" i="2" a="1"/>
  <c r="S93" i="2" s="1"/>
  <c r="S46" i="2" a="1"/>
  <c r="S46" i="2" s="1"/>
  <c r="S62" i="2" a="1"/>
  <c r="S62" i="2" s="1"/>
  <c r="S3" i="2" a="1"/>
  <c r="S3" i="2" s="1"/>
  <c r="S30" i="2" a="1"/>
  <c r="S30" i="2" s="1"/>
  <c r="S15" i="2" a="1"/>
  <c r="S15" i="2" s="1"/>
  <c r="S31" i="2" a="1"/>
  <c r="S31" i="2" s="1"/>
  <c r="S47" i="2" a="1"/>
  <c r="S47" i="2" s="1"/>
  <c r="S63" i="2" a="1"/>
  <c r="S63" i="2" s="1"/>
  <c r="S78" i="2" a="1"/>
  <c r="S78" i="2" s="1"/>
  <c r="S96" i="2" a="1"/>
  <c r="S96" i="2" s="1"/>
  <c r="S12" i="2" a="1"/>
  <c r="S12" i="2" s="1"/>
  <c r="S16" i="2" a="1"/>
  <c r="S16" i="2" s="1"/>
  <c r="S32" i="2" a="1"/>
  <c r="S32" i="2" s="1"/>
  <c r="S48" i="2" a="1"/>
  <c r="S48" i="2" s="1"/>
  <c r="S64" i="2" a="1"/>
  <c r="S64" i="2" s="1"/>
  <c r="S81" i="2" a="1"/>
  <c r="S81" i="2" s="1"/>
  <c r="S102" i="2" a="1"/>
  <c r="S102" i="2" s="1"/>
  <c r="S104" i="2" a="1"/>
  <c r="S104" i="2" s="1"/>
  <c r="S2" i="2" a="1"/>
  <c r="S2" i="2" s="1"/>
  <c r="S17" i="2" a="1"/>
  <c r="S17" i="2" s="1"/>
  <c r="S33" i="2" a="1"/>
  <c r="S33" i="2" s="1"/>
  <c r="S49" i="2" a="1"/>
  <c r="S49" i="2" s="1"/>
  <c r="S65" i="2" a="1"/>
  <c r="S65" i="2" s="1"/>
  <c r="S79" i="2" a="1"/>
  <c r="S79" i="2" s="1"/>
  <c r="S105" i="2" a="1"/>
  <c r="S105" i="2" s="1"/>
  <c r="S88" i="2" a="1"/>
  <c r="S88" i="2" s="1"/>
  <c r="S14" i="2" a="1"/>
  <c r="S14" i="2" s="1"/>
  <c r="S18" i="2" a="1"/>
  <c r="S18" i="2" s="1"/>
  <c r="S35" i="2" a="1"/>
  <c r="S35" i="2" s="1"/>
  <c r="S51" i="2" a="1"/>
  <c r="S51" i="2" s="1"/>
  <c r="S66" i="2" a="1"/>
  <c r="S66" i="2" s="1"/>
  <c r="S80" i="2" a="1"/>
  <c r="S80" i="2" s="1"/>
  <c r="S98" i="2" a="1"/>
  <c r="S98" i="2" s="1"/>
  <c r="S99" i="2" a="1"/>
  <c r="S99" i="2" s="1"/>
  <c r="H5" i="4"/>
  <c r="H4" i="4"/>
  <c r="H3" i="4"/>
  <c r="H2" i="4"/>
  <c r="F5" i="4"/>
  <c r="F2" i="4"/>
  <c r="F3" i="4"/>
  <c r="F4" i="4"/>
  <c r="D2" i="4"/>
  <c r="D5" i="4"/>
  <c r="D4" i="4"/>
  <c r="D3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BCA480-740C-4A63-983F-A44763F0A501}" keepAlive="1" name="Sorgu - serim" description="Çalışma kitabındaki 'serim' sorgusuna yönelik bağlantı." type="5" refreshedVersion="0" background="1">
    <dbPr connection="Provider=Microsoft.Mashup.OleDb.1;Data Source=$Workbook$;Location=serim;Extended Properties=&quot;&quot;" command="SELECT * FROM [serim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<sst xmlns="http://schemas.openxmlformats.org/spreadsheetml/2006/main" count="1914" uniqueCount="519">
  <si>
    <t>KABLO CİNSİ</t>
  </si>
  <si>
    <t>MAKARA NO</t>
  </si>
  <si>
    <t>TUR09250209-1</t>
  </si>
  <si>
    <t>TUR09250209-2</t>
  </si>
  <si>
    <t>TUR09250209-3</t>
  </si>
  <si>
    <t>TUR09250207-1</t>
  </si>
  <si>
    <t>TUR09250207-2</t>
  </si>
  <si>
    <t>TUR09250206-1</t>
  </si>
  <si>
    <t>TUR09250206-2</t>
  </si>
  <si>
    <t>TUR09250206-3</t>
  </si>
  <si>
    <t>TUR09250254-1</t>
  </si>
  <si>
    <t>TUR09250254-2</t>
  </si>
  <si>
    <t>TUR09250254-3</t>
  </si>
  <si>
    <t>TUR09250254-4</t>
  </si>
  <si>
    <t>TUR09250251-1</t>
  </si>
  <si>
    <t>TUR09250251-2</t>
  </si>
  <si>
    <t>TUR09250251-3</t>
  </si>
  <si>
    <t>TUR09250251-4</t>
  </si>
  <si>
    <t>TUR09250248-1</t>
  </si>
  <si>
    <t>TUR09250248-2</t>
  </si>
  <si>
    <t>TUR09250248-3</t>
  </si>
  <si>
    <t>TUR09250248-4</t>
  </si>
  <si>
    <t>TUR09250252-1</t>
  </si>
  <si>
    <t>TUR09250252-2</t>
  </si>
  <si>
    <t>TUR09250252-3</t>
  </si>
  <si>
    <t>TUR09250252-4</t>
  </si>
  <si>
    <t>TUR09250211-1</t>
  </si>
  <si>
    <t>TUR09250211-2</t>
  </si>
  <si>
    <t>TUR09250211-3</t>
  </si>
  <si>
    <t>TUR09250211-4</t>
  </si>
  <si>
    <t>TUR09250211-5</t>
  </si>
  <si>
    <t>TUR09250258-1</t>
  </si>
  <si>
    <t>TUR09250258-2</t>
  </si>
  <si>
    <t>TUR09250258-3</t>
  </si>
  <si>
    <t>TUR09250258-4</t>
  </si>
  <si>
    <t>TUR09250256-1</t>
  </si>
  <si>
    <t>TUR09250256-2</t>
  </si>
  <si>
    <t>TUR09250256-3</t>
  </si>
  <si>
    <t>TUR09250256-4</t>
  </si>
  <si>
    <t>TUR09250895-4</t>
  </si>
  <si>
    <t>KALAN (mt)</t>
  </si>
  <si>
    <t>TUR06250842-1</t>
  </si>
  <si>
    <t>TUR06250842-2</t>
  </si>
  <si>
    <t>TUR06250842-3</t>
  </si>
  <si>
    <t>TUR06250843-1</t>
  </si>
  <si>
    <t>TUR06250843-2</t>
  </si>
  <si>
    <t>TUR06250844-2</t>
  </si>
  <si>
    <t>TUR06250845-1</t>
  </si>
  <si>
    <t>TUR06250845-2</t>
  </si>
  <si>
    <t>TUR06250845-3</t>
  </si>
  <si>
    <t>TUR06250845-4</t>
  </si>
  <si>
    <t>TUR06250845-5</t>
  </si>
  <si>
    <t>TUR06250854-1</t>
  </si>
  <si>
    <t>TUR06250854-2</t>
  </si>
  <si>
    <t>TUR06250854-3</t>
  </si>
  <si>
    <t>TUR06250854-4</t>
  </si>
  <si>
    <t>TUR06250855-1</t>
  </si>
  <si>
    <t>TUR06250855-2</t>
  </si>
  <si>
    <t>TUR06250855-3</t>
  </si>
  <si>
    <t>TUR06250855-4</t>
  </si>
  <si>
    <t>TUR06250856-2</t>
  </si>
  <si>
    <t>TUR06250856-4</t>
  </si>
  <si>
    <t>TUR06250858-1</t>
  </si>
  <si>
    <t>TUR06250858-2</t>
  </si>
  <si>
    <t>TUR06250858-3</t>
  </si>
  <si>
    <t>TUR06250858-4</t>
  </si>
  <si>
    <t>TUR06250859-1</t>
  </si>
  <si>
    <t>TUR06250859-2</t>
  </si>
  <si>
    <t>TUR06250859-3</t>
  </si>
  <si>
    <t>TUR06250859-4</t>
  </si>
  <si>
    <t>TUR06250859-5</t>
  </si>
  <si>
    <t>TUR06250859-6</t>
  </si>
  <si>
    <t>TUR06250860-1</t>
  </si>
  <si>
    <t>TUR06250860-2</t>
  </si>
  <si>
    <t>TUR06250860-3</t>
  </si>
  <si>
    <t>TUR06250860-4</t>
  </si>
  <si>
    <t>TUR06250861-1</t>
  </si>
  <si>
    <t>TUR06250861-2</t>
  </si>
  <si>
    <t>TUR06250861-3</t>
  </si>
  <si>
    <t>TUR06250861-4</t>
  </si>
  <si>
    <t>TUR06250863-1</t>
  </si>
  <si>
    <t>TUR06250863-2</t>
  </si>
  <si>
    <t>TUR07250842-4</t>
  </si>
  <si>
    <t>TUR07250862-1</t>
  </si>
  <si>
    <t>TUR07250862-2</t>
  </si>
  <si>
    <t>TUR07250862-3</t>
  </si>
  <si>
    <t>TUR07250862-4</t>
  </si>
  <si>
    <t>TUR08250894-1</t>
  </si>
  <si>
    <t>TUR08250894-2</t>
  </si>
  <si>
    <t>TUR08250894-3</t>
  </si>
  <si>
    <t>TUR08250894-4</t>
  </si>
  <si>
    <t>TUR08250895-1</t>
  </si>
  <si>
    <t>TUR08250895-2</t>
  </si>
  <si>
    <t>TUR08250895-3</t>
  </si>
  <si>
    <t>TUR08250896-1</t>
  </si>
  <si>
    <t>TUR08250896-2</t>
  </si>
  <si>
    <t>TUR08250896-3</t>
  </si>
  <si>
    <t>TUR08250896-4</t>
  </si>
  <si>
    <t>TUR08250897-1</t>
  </si>
  <si>
    <t>TUR08250897-2</t>
  </si>
  <si>
    <t>TUR08250897-3</t>
  </si>
  <si>
    <t>TUR08250897-4</t>
  </si>
  <si>
    <t>TUR08250898-1</t>
  </si>
  <si>
    <t>TUR08250898-2</t>
  </si>
  <si>
    <t>TUR08250898-3</t>
  </si>
  <si>
    <t>TUR08250898-4</t>
  </si>
  <si>
    <t>TUR08250899-1</t>
  </si>
  <si>
    <t>TUR08250899-2</t>
  </si>
  <si>
    <t>TUR08250899-3</t>
  </si>
  <si>
    <t>TUR08250899-4</t>
  </si>
  <si>
    <t>A-DQ</t>
  </si>
  <si>
    <t>A-DF</t>
  </si>
  <si>
    <t>UZUNLUK (mt)</t>
  </si>
  <si>
    <t>CORE</t>
  </si>
  <si>
    <t>76+480</t>
  </si>
  <si>
    <t>GSMR A01</t>
  </si>
  <si>
    <t>FEC10-03</t>
  </si>
  <si>
    <t>77+184</t>
  </si>
  <si>
    <t>78+076</t>
  </si>
  <si>
    <t>SATB 09-SATB 10</t>
  </si>
  <si>
    <t>SATB 09</t>
  </si>
  <si>
    <t>SATB 10</t>
  </si>
  <si>
    <t>78+059</t>
  </si>
  <si>
    <t>78+351</t>
  </si>
  <si>
    <t>GSMR A02-GSMR A01</t>
  </si>
  <si>
    <t>GSMR A02</t>
  </si>
  <si>
    <t>76+525</t>
  </si>
  <si>
    <t>GSMR A01-FEC10-03</t>
  </si>
  <si>
    <t>SATB 10- TBB 14</t>
  </si>
  <si>
    <t>SATB10</t>
  </si>
  <si>
    <t>TTB 14</t>
  </si>
  <si>
    <t>77+137</t>
  </si>
  <si>
    <t>EK-FEC10-09</t>
  </si>
  <si>
    <t>EK</t>
  </si>
  <si>
    <t>FEC10-09</t>
  </si>
  <si>
    <t>76+821</t>
  </si>
  <si>
    <t>Tarih</t>
  </si>
  <si>
    <t>Kablo Etiketi</t>
  </si>
  <si>
    <t>Nereden</t>
  </si>
  <si>
    <t>Nereye</t>
  </si>
  <si>
    <t>Kablo Tipi</t>
  </si>
  <si>
    <t>Makara Numarası</t>
  </si>
  <si>
    <t>Makara Uzunluğu</t>
  </si>
  <si>
    <t>Makara Başlangıç</t>
  </si>
  <si>
    <t>Makara Bitiş</t>
  </si>
  <si>
    <t>Başlangıç Elemanı</t>
  </si>
  <si>
    <t>Başlangıç Km</t>
  </si>
  <si>
    <t>Bitiş Elemanı</t>
  </si>
  <si>
    <t>Bitiş Km</t>
  </si>
  <si>
    <t>Hat 1 / Hat 2</t>
  </si>
  <si>
    <t>Ek Km</t>
  </si>
  <si>
    <t>Makara Kalan Uzunluk</t>
  </si>
  <si>
    <t>Serim(m)</t>
  </si>
  <si>
    <t>SATB08-SATB07</t>
  </si>
  <si>
    <t>58+913</t>
  </si>
  <si>
    <t>47+757</t>
  </si>
  <si>
    <t>SATB 08-SATB 07</t>
  </si>
  <si>
    <t>56+990</t>
  </si>
  <si>
    <t>54+991</t>
  </si>
  <si>
    <t>SATB08 - FEC08-01 CCTV</t>
  </si>
  <si>
    <t>SATB 08</t>
  </si>
  <si>
    <t>FEC 08-01 CCTV</t>
  </si>
  <si>
    <t>57+698</t>
  </si>
  <si>
    <t>SATB08 - SATB07</t>
  </si>
  <si>
    <t>56+967</t>
  </si>
  <si>
    <t xml:space="preserve">FEC08-01 CCTV - FEC08-03 </t>
  </si>
  <si>
    <t>FEC08-01 CCTV</t>
  </si>
  <si>
    <t>FEC 08-03 CCTV</t>
  </si>
  <si>
    <t>57+073</t>
  </si>
  <si>
    <t>FEC08-03 - FEC08-05</t>
  </si>
  <si>
    <t>FEC 08-03</t>
  </si>
  <si>
    <t>FEC 08-05</t>
  </si>
  <si>
    <t>56+284</t>
  </si>
  <si>
    <t>FEC08-05 -FEC08-07</t>
  </si>
  <si>
    <t>FEC 08-07</t>
  </si>
  <si>
    <t>55+106</t>
  </si>
  <si>
    <t>Ek</t>
  </si>
  <si>
    <t>54+990</t>
  </si>
  <si>
    <t xml:space="preserve">FEC 08-07 - FEC08-09 </t>
  </si>
  <si>
    <t xml:space="preserve">FEC 08-07 </t>
  </si>
  <si>
    <t>FEC 08-09</t>
  </si>
  <si>
    <t>54+313</t>
  </si>
  <si>
    <t>SATB 08 - SATB 07</t>
  </si>
  <si>
    <t>53+00</t>
  </si>
  <si>
    <t>53+000</t>
  </si>
  <si>
    <t>FEC 08-09 - FEC 08-11</t>
  </si>
  <si>
    <t>FEC 08-11</t>
  </si>
  <si>
    <t>53+563</t>
  </si>
  <si>
    <t xml:space="preserve">SATB 08 - POSTA BİNASI </t>
  </si>
  <si>
    <t>54+930</t>
  </si>
  <si>
    <t>52+467</t>
  </si>
  <si>
    <t>52+970</t>
  </si>
  <si>
    <t>SATB 08 - GSMR B01</t>
  </si>
  <si>
    <t>GSMR B01</t>
  </si>
  <si>
    <t>60+644</t>
  </si>
  <si>
    <t>SATB 08 - SATB 09</t>
  </si>
  <si>
    <t>FEC 08-06 - FEC 08-04</t>
  </si>
  <si>
    <t>FEC 08-06</t>
  </si>
  <si>
    <t>FEC 08-04</t>
  </si>
  <si>
    <t>60+440</t>
  </si>
  <si>
    <t>60+136</t>
  </si>
  <si>
    <t>FEC 0804 - FEC 0802</t>
  </si>
  <si>
    <t>FEC 0804</t>
  </si>
  <si>
    <t>FEC 0802</t>
  </si>
  <si>
    <t>59+519</t>
  </si>
  <si>
    <t>FEC 0802 - SATB 08</t>
  </si>
  <si>
    <t>FEC 0811 - FEC 0720</t>
  </si>
  <si>
    <t>FEC 0811 53+563</t>
  </si>
  <si>
    <t>FEC 0811</t>
  </si>
  <si>
    <t>FEC 0720</t>
  </si>
  <si>
    <t>52+822</t>
  </si>
  <si>
    <t>SATB 08 58+913</t>
  </si>
  <si>
    <t>60+444</t>
  </si>
  <si>
    <t>62+439</t>
  </si>
  <si>
    <t>62+437</t>
  </si>
  <si>
    <t>GSMR B01 - FEC 0808</t>
  </si>
  <si>
    <t>GSMR B01 60+474</t>
  </si>
  <si>
    <t>60+474</t>
  </si>
  <si>
    <t>FEC 0808</t>
  </si>
  <si>
    <t>61+630</t>
  </si>
  <si>
    <t>FEC 0808 - GSMR B02</t>
  </si>
  <si>
    <t>GSMR B02 62+539</t>
  </si>
  <si>
    <t>GSMR B02</t>
  </si>
  <si>
    <t>62+539</t>
  </si>
  <si>
    <t>64+460</t>
  </si>
  <si>
    <t>GSMR B02 - FEC 0810</t>
  </si>
  <si>
    <t>FEC 0810</t>
  </si>
  <si>
    <t>63+022</t>
  </si>
  <si>
    <t>FEC 0810 - FEC 0911 BTS11RRHA</t>
  </si>
  <si>
    <t>FEC 0810 63+022</t>
  </si>
  <si>
    <t>FEC 0911 BTS11RRHA 64+539</t>
  </si>
  <si>
    <t>FEC 0911 BTS11RRHA</t>
  </si>
  <si>
    <t>64+539</t>
  </si>
  <si>
    <t xml:space="preserve">SATB 08 </t>
  </si>
  <si>
    <t>64+475</t>
  </si>
  <si>
    <t>64+428</t>
  </si>
  <si>
    <t>66+470</t>
  </si>
  <si>
    <t>SATB 08 -SATB 09</t>
  </si>
  <si>
    <t>66+467</t>
  </si>
  <si>
    <t>GSMR A03 - FEC 0909</t>
  </si>
  <si>
    <t>GSMR A03</t>
  </si>
  <si>
    <t>64+540</t>
  </si>
  <si>
    <t>FEC 0909</t>
  </si>
  <si>
    <t>65+050</t>
  </si>
  <si>
    <t>FEC 0909 - TTB 11</t>
  </si>
  <si>
    <t>FEC 0909 65+050</t>
  </si>
  <si>
    <t>TTB 11</t>
  </si>
  <si>
    <t>65+556</t>
  </si>
  <si>
    <t>TTB 11 - GSMR A02</t>
  </si>
  <si>
    <t>TTB 11 65+556</t>
  </si>
  <si>
    <t xml:space="preserve">TTB 11 </t>
  </si>
  <si>
    <t>66+539</t>
  </si>
  <si>
    <t>68+536</t>
  </si>
  <si>
    <t>68+480</t>
  </si>
  <si>
    <t>GSMR A01 - FEC 0905</t>
  </si>
  <si>
    <t>GSMR A01 68+472</t>
  </si>
  <si>
    <t>68+472</t>
  </si>
  <si>
    <t>FEC 0905</t>
  </si>
  <si>
    <t>67+668</t>
  </si>
  <si>
    <t>FEC 0905 - FEC 0907</t>
  </si>
  <si>
    <t>FEC 0905 67+668</t>
  </si>
  <si>
    <t>FEC 0907</t>
  </si>
  <si>
    <t>66+910</t>
  </si>
  <si>
    <t>FEC 0907 - GSMR A02</t>
  </si>
  <si>
    <t>FEC 0907 66+910</t>
  </si>
  <si>
    <t>GSMR A02 66+540</t>
  </si>
  <si>
    <t>66+540</t>
  </si>
  <si>
    <t>68+500</t>
  </si>
  <si>
    <t>68+808</t>
  </si>
  <si>
    <t>GSMR A01 - FEC 0903</t>
  </si>
  <si>
    <t>FEC 0903</t>
  </si>
  <si>
    <t>68+736</t>
  </si>
  <si>
    <t>SATB 09 - SATB 10</t>
  </si>
  <si>
    <t>70+279</t>
  </si>
  <si>
    <t>70+650</t>
  </si>
  <si>
    <t>SATB 09 - GSMR B02</t>
  </si>
  <si>
    <t>71+434</t>
  </si>
  <si>
    <t>SATB 09-FEC 0902</t>
  </si>
  <si>
    <t>FEC 0902</t>
  </si>
  <si>
    <t>68+830</t>
  </si>
  <si>
    <t>GSMR B01-FEC 0906</t>
  </si>
  <si>
    <t>FEC 0906</t>
  </si>
  <si>
    <t>69+754</t>
  </si>
  <si>
    <t>69+480</t>
  </si>
  <si>
    <t>FEC 0904-FEC 0906</t>
  </si>
  <si>
    <t>FEC 0904</t>
  </si>
  <si>
    <t>69+150</t>
  </si>
  <si>
    <t>FEC 0902-FEC 0904</t>
  </si>
  <si>
    <t>GSMR B01-FEC 0908</t>
  </si>
  <si>
    <t>FEC 0908</t>
  </si>
  <si>
    <t>70+085</t>
  </si>
  <si>
    <t>70+729</t>
  </si>
  <si>
    <t>71+390</t>
  </si>
  <si>
    <t>SATB 09 -SATB 10</t>
  </si>
  <si>
    <t>72+730</t>
  </si>
  <si>
    <t>SATB09 GSMR B02-SATB10 GSMR A03</t>
  </si>
  <si>
    <t>SATB09 GSMR B02</t>
  </si>
  <si>
    <t>SATB10 GSMR A03</t>
  </si>
  <si>
    <t>SATB09GSMR B02</t>
  </si>
  <si>
    <t>72+657</t>
  </si>
  <si>
    <t>EK-TTB 13</t>
  </si>
  <si>
    <t>TTB 13</t>
  </si>
  <si>
    <t>GSMR A03-FEC10-19</t>
  </si>
  <si>
    <t>FEC10-19</t>
  </si>
  <si>
    <t>73+140</t>
  </si>
  <si>
    <t>FEC10-19-FEC10-17</t>
  </si>
  <si>
    <t>FEC10-17</t>
  </si>
  <si>
    <t>73+479</t>
  </si>
  <si>
    <t>FEC10-17-FEC10-15</t>
  </si>
  <si>
    <t>FEC10-15</t>
  </si>
  <si>
    <t>73+660</t>
  </si>
  <si>
    <t>74+520</t>
  </si>
  <si>
    <t>74+746</t>
  </si>
  <si>
    <t>FEC10-15-FEC10-13</t>
  </si>
  <si>
    <t>FEC10-13</t>
  </si>
  <si>
    <t>75+150</t>
  </si>
  <si>
    <t>FEC10-13-GMSR A02</t>
  </si>
  <si>
    <t>FEC08-06-TTB 09</t>
  </si>
  <si>
    <t>FEC 0806</t>
  </si>
  <si>
    <t>TTB 09</t>
  </si>
  <si>
    <t>70+401</t>
  </si>
  <si>
    <t>60+439</t>
  </si>
  <si>
    <t>TTB 09-GSMR B01</t>
  </si>
  <si>
    <t>TTB 13-EK</t>
  </si>
  <si>
    <t>288 CORE LSZH</t>
  </si>
  <si>
    <t>288 CORE PE</t>
  </si>
  <si>
    <t>24 CORE LSZH</t>
  </si>
  <si>
    <t>24 CORE PE</t>
  </si>
  <si>
    <t>GENEL YÜZDE</t>
  </si>
  <si>
    <t>TALEP EDİLEN/GELEN ORANI</t>
  </si>
  <si>
    <t>KABLO TİPİ</t>
  </si>
  <si>
    <t>GELEN/SERİM ORANI</t>
  </si>
  <si>
    <t>TALEP EDİLEN (mt)</t>
  </si>
  <si>
    <t>GELEN METRAJ (mt)</t>
  </si>
  <si>
    <t>KALAN SİPARİŞ (mt)</t>
  </si>
  <si>
    <t>SERİM MİKTARI (mt)</t>
  </si>
  <si>
    <t>ELDE KALAN (mt)</t>
  </si>
  <si>
    <t>TALEP EDİLEN/SERİM ORANI</t>
  </si>
  <si>
    <t>FEC08-01 CCTV 57+698</t>
  </si>
  <si>
    <t>FEC 08-03 57+073</t>
  </si>
  <si>
    <t>FEC 08-07 56+284</t>
  </si>
  <si>
    <t>FEC0807 55+106</t>
  </si>
  <si>
    <t>SATB 08 54+990</t>
  </si>
  <si>
    <t>FEC 08-09 54+313</t>
  </si>
  <si>
    <t>SATB 08 54+930</t>
  </si>
  <si>
    <t>SATB 08 54+991</t>
  </si>
  <si>
    <t>EK 54+991</t>
  </si>
  <si>
    <t>EK 65+470</t>
  </si>
  <si>
    <t>EK 66+467</t>
  </si>
  <si>
    <t>EK 68+536</t>
  </si>
  <si>
    <t>EK 68+480</t>
  </si>
  <si>
    <t>EK 68+500</t>
  </si>
  <si>
    <t>EK 70+279</t>
  </si>
  <si>
    <t>EK 71+390</t>
  </si>
  <si>
    <t>EK 72+730</t>
  </si>
  <si>
    <t>EK 74+709</t>
  </si>
  <si>
    <t>EK 78+059</t>
  </si>
  <si>
    <t>FEC08-03 57+073</t>
  </si>
  <si>
    <t>EK 74+746</t>
  </si>
  <si>
    <t>EK 76+480</t>
  </si>
  <si>
    <t>EK 70+401</t>
  </si>
  <si>
    <t>EK 76+525</t>
  </si>
  <si>
    <t>EK 56+990</t>
  </si>
  <si>
    <t>EK 54+945</t>
  </si>
  <si>
    <t>SATB 07 47+757</t>
  </si>
  <si>
    <t>Ek 56+967</t>
  </si>
  <si>
    <t>FEC 0805 56+284</t>
  </si>
  <si>
    <t>FEC 0805 55+106</t>
  </si>
  <si>
    <t>Ek 54+990</t>
  </si>
  <si>
    <t>FEC 08-11 53+563</t>
  </si>
  <si>
    <t>POSTA BİNASI 52+467</t>
  </si>
  <si>
    <t>FEC 0804 60+136</t>
  </si>
  <si>
    <t>FEC 0802 59+519</t>
  </si>
  <si>
    <t>SATB 08 38+913</t>
  </si>
  <si>
    <t>FEC 0808 61+639</t>
  </si>
  <si>
    <t>EK 64+460</t>
  </si>
  <si>
    <t>EK 64+475</t>
  </si>
  <si>
    <t>EK 64+428</t>
  </si>
  <si>
    <t>GSMR A02 66+539</t>
  </si>
  <si>
    <t xml:space="preserve"> FEC 0903 68+736</t>
  </si>
  <si>
    <t>EK 70+650</t>
  </si>
  <si>
    <t xml:space="preserve">SATB 07 </t>
  </si>
  <si>
    <t>SATB 07 56+937</t>
  </si>
  <si>
    <t>SATB07 54+990</t>
  </si>
  <si>
    <t>FEC0809 54+313</t>
  </si>
  <si>
    <t>SATB 07 53+000</t>
  </si>
  <si>
    <t>EK 53+000</t>
  </si>
  <si>
    <t>EK 52+467</t>
  </si>
  <si>
    <t>SATB 07 52+970</t>
  </si>
  <si>
    <t>EK 52+970</t>
  </si>
  <si>
    <t>EK 60+644</t>
  </si>
  <si>
    <t xml:space="preserve">FEC 0720 52+822 </t>
  </si>
  <si>
    <t>SATB 09 64+460</t>
  </si>
  <si>
    <t>GSMR A03 64+540</t>
  </si>
  <si>
    <t>SATB 09 68+808</t>
  </si>
  <si>
    <t>TTB 14-FEC10-05</t>
  </si>
  <si>
    <t>FEC10-05</t>
  </si>
  <si>
    <t>24 F/O</t>
  </si>
  <si>
    <t>77+124</t>
  </si>
  <si>
    <t>FEC10-09-FEC10-07</t>
  </si>
  <si>
    <t>FEC10-07</t>
  </si>
  <si>
    <t>76+880</t>
  </si>
  <si>
    <t>FEC10-05-FEC10-07</t>
  </si>
  <si>
    <t>288 F/O</t>
  </si>
  <si>
    <t>FEC10-03-FEC10-01</t>
  </si>
  <si>
    <t>78+175</t>
  </si>
  <si>
    <t>FEC10-01-SATB 10</t>
  </si>
  <si>
    <t>FEC10-01</t>
  </si>
  <si>
    <t>ISITICI-SATB 10</t>
  </si>
  <si>
    <t>ISITICI 77+000</t>
  </si>
  <si>
    <t>SATB10 78+351</t>
  </si>
  <si>
    <t>77+000</t>
  </si>
  <si>
    <t>STB 10</t>
  </si>
  <si>
    <t>FEC10-02-FEC10-04</t>
  </si>
  <si>
    <t>FEC10-02</t>
  </si>
  <si>
    <t>FEC10-04</t>
  </si>
  <si>
    <t>79+085</t>
  </si>
  <si>
    <t>79+355</t>
  </si>
  <si>
    <t>FEC10-06-FEC10-08</t>
  </si>
  <si>
    <t>FEC10-06</t>
  </si>
  <si>
    <t>FEC10-08</t>
  </si>
  <si>
    <t>79+600</t>
  </si>
  <si>
    <t>80+129</t>
  </si>
  <si>
    <t>FEC10-08-FEC10-10</t>
  </si>
  <si>
    <t>FEC10-10</t>
  </si>
  <si>
    <t>81+330</t>
  </si>
  <si>
    <t>SATB10-SATB11</t>
  </si>
  <si>
    <t>SATB11</t>
  </si>
  <si>
    <t>TUK06250855-2</t>
  </si>
  <si>
    <t>79+908</t>
  </si>
  <si>
    <t>78+968</t>
  </si>
  <si>
    <t>83+900</t>
  </si>
  <si>
    <t>FEC10-16-FEC11-09</t>
  </si>
  <si>
    <t>FEC10-16</t>
  </si>
  <si>
    <t>FEC11-09</t>
  </si>
  <si>
    <t>83+140</t>
  </si>
  <si>
    <t>83+620</t>
  </si>
  <si>
    <t>FEC10-10-FEC10-16</t>
  </si>
  <si>
    <t>FEC11-09-TTB15</t>
  </si>
  <si>
    <t>TTB15</t>
  </si>
  <si>
    <t>83+911</t>
  </si>
  <si>
    <t>TTB15-GSMRA01</t>
  </si>
  <si>
    <t>GSMRA01</t>
  </si>
  <si>
    <t>83+952</t>
  </si>
  <si>
    <t>81+985</t>
  </si>
  <si>
    <t>TUR06250856-1</t>
  </si>
  <si>
    <t>81+908</t>
  </si>
  <si>
    <t>FEC10-04-FEC10-12</t>
  </si>
  <si>
    <t>FEC10-12</t>
  </si>
  <si>
    <t>82+260</t>
  </si>
  <si>
    <t>FEC10-12-FEC10-14</t>
  </si>
  <si>
    <t>FEC10-14</t>
  </si>
  <si>
    <t>82+825</t>
  </si>
  <si>
    <t>ISITICI-</t>
  </si>
  <si>
    <t>ISITICI</t>
  </si>
  <si>
    <t>79+740</t>
  </si>
  <si>
    <t>79+325</t>
  </si>
  <si>
    <t>FEC10-14-SATB 11</t>
  </si>
  <si>
    <t>SATB 11</t>
  </si>
  <si>
    <t>86+455</t>
  </si>
  <si>
    <t>81+104</t>
  </si>
  <si>
    <t>FEC10-14-EK</t>
  </si>
  <si>
    <t>TUR06250845-6</t>
  </si>
  <si>
    <t>79+992</t>
  </si>
  <si>
    <t>78+068</t>
  </si>
  <si>
    <t>FEC10-02-SATB10</t>
  </si>
  <si>
    <t>78+432</t>
  </si>
  <si>
    <t>STB 08</t>
  </si>
  <si>
    <t>STB 09</t>
  </si>
  <si>
    <t>STB 11</t>
  </si>
  <si>
    <t>EK 81+908</t>
  </si>
  <si>
    <t>EK 81+985</t>
  </si>
  <si>
    <t>EK 79+992</t>
  </si>
  <si>
    <t>EK 79+908</t>
  </si>
  <si>
    <t>Bina</t>
  </si>
  <si>
    <t>288 F/O (H)</t>
  </si>
  <si>
    <t>24 F/O (H)</t>
  </si>
  <si>
    <t>Metraj Hatası</t>
  </si>
  <si>
    <t>Kılıf Hatası</t>
  </si>
  <si>
    <t>Core Hatası</t>
  </si>
  <si>
    <t>65+470</t>
  </si>
  <si>
    <t>Aralık</t>
  </si>
  <si>
    <t>KM</t>
  </si>
  <si>
    <t>Azalan Kablo Tipi</t>
  </si>
  <si>
    <t>Azalan Makara No</t>
  </si>
  <si>
    <t>Artan Kablo Tipi</t>
  </si>
  <si>
    <t>Artan Makara No</t>
  </si>
  <si>
    <t>STB 07 – STB 08</t>
  </si>
  <si>
    <t>--</t>
  </si>
  <si>
    <t>STB 08 – STB 09</t>
  </si>
  <si>
    <t>STB 09 – STB 10</t>
  </si>
  <si>
    <t>STB 10 – STB 11</t>
  </si>
  <si>
    <t>74+709</t>
  </si>
  <si>
    <t>GSMR A02-FEC11-05</t>
  </si>
  <si>
    <t>FEC11-05</t>
  </si>
  <si>
    <t>86+847</t>
  </si>
  <si>
    <t>87+126</t>
  </si>
  <si>
    <t>SATB 10-SATB 11</t>
  </si>
  <si>
    <t>SATB 10 78+351</t>
  </si>
  <si>
    <t>SATB 11 80+025</t>
  </si>
  <si>
    <t>84+511</t>
  </si>
  <si>
    <t>SATB 11 80+026</t>
  </si>
  <si>
    <t>84+502</t>
  </si>
  <si>
    <t>GSMR A01-TTB 16</t>
  </si>
  <si>
    <t>TTB 16</t>
  </si>
  <si>
    <t>86+405</t>
  </si>
  <si>
    <t>86+448</t>
  </si>
  <si>
    <t>SATB 11-GSMR B03</t>
  </si>
  <si>
    <t>GSMR B03</t>
  </si>
  <si>
    <t>88+088</t>
  </si>
  <si>
    <t>88+025</t>
  </si>
  <si>
    <t>STB 07 - STB 08</t>
  </si>
  <si>
    <t>STB 08 - STB 09</t>
  </si>
  <si>
    <t>STB 09 - STB 10</t>
  </si>
  <si>
    <t>STB 10 - STB 11</t>
  </si>
  <si>
    <t>81+895</t>
  </si>
  <si>
    <t>STB 11 - STB 12</t>
  </si>
  <si>
    <t>54+945</t>
  </si>
  <si>
    <t>79+255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</si>
</sst>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%"/>
    <numFmt numFmtId="165" formatCode="000\+00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sz val="10"/>
      <name val="Arial Tur"/>
      <charset val="162"/>
    </font>
    <font>
      <b/>
      <sz val="10"/>
      <name val="Arial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9" fontId="2" fillId="0" borderId="0" applyFont="0" applyFill="0" applyBorder="0" applyAlignment="0" applyProtection="0"/>
    <xf numFmtId="0" fontId="3" fillId="0" borderId="0"/>
    <xf numFmtId="0" fontId="1" fillId="0" borderId="0"/>
    <xf numFmtId="0" fontId="2" fillId="0" borderId="0"/>
    <xf numFmtId="43" fontId="2" fillId="0" borderId="0" applyFon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0" fontId="2" fillId="0" borderId="0"/>
    <xf numFmtId="0" fontId="5" fillId="0" borderId="0"/>
  </cellStyleXfs>
  <cellXfs count="61">
    <xf numFmtId="0" fontId="0" fillId="0" borderId="0" xfId="0"/>
    <xf numFmtId="0" fontId="0" fillId="0" borderId="0" xfId="0" applyAlignment="1">
      <alignment horizontal="center" vertical="center"/>
    </xf>
    <xf numFmtId="0" fontId="4" fillId="2" borderId="2" xfId="2" applyFon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4" fillId="2" borderId="1" xfId="2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0" fillId="0" borderId="4" xfId="1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14" fontId="9" fillId="4" borderId="1" xfId="0" applyNumberFormat="1" applyFont="1" applyFill="1" applyBorder="1" applyAlignment="1">
      <alignment horizontal="center" vertical="center"/>
    </xf>
    <xf numFmtId="14" fontId="9" fillId="4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165" fontId="9" fillId="4" borderId="1" xfId="8" applyNumberFormat="1" applyFont="1" applyFill="1" applyBorder="1" applyAlignment="1">
      <alignment horizontal="center"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1" fontId="9" fillId="4" borderId="1" xfId="0" applyNumberFormat="1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49" fontId="8" fillId="4" borderId="1" xfId="0" applyNumberFormat="1" applyFont="1" applyFill="1" applyBorder="1" applyAlignment="1">
      <alignment horizontal="center" vertical="center" wrapText="1"/>
    </xf>
    <xf numFmtId="1" fontId="8" fillId="4" borderId="1" xfId="0" applyNumberFormat="1" applyFont="1" applyFill="1" applyBorder="1" applyAlignment="1">
      <alignment horizontal="center" vertical="center" wrapText="1"/>
    </xf>
    <xf numFmtId="14" fontId="9" fillId="4" borderId="1" xfId="3" applyNumberFormat="1" applyFont="1" applyFill="1" applyBorder="1" applyAlignment="1">
      <alignment horizontal="center" vertical="center"/>
    </xf>
    <xf numFmtId="0" fontId="8" fillId="4" borderId="1" xfId="3" applyFont="1" applyFill="1" applyBorder="1" applyAlignment="1">
      <alignment horizontal="center" vertical="center" wrapText="1"/>
    </xf>
    <xf numFmtId="49" fontId="8" fillId="4" borderId="1" xfId="3" applyNumberFormat="1" applyFont="1" applyFill="1" applyBorder="1" applyAlignment="1">
      <alignment horizontal="center" vertical="center" wrapText="1"/>
    </xf>
    <xf numFmtId="1" fontId="8" fillId="4" borderId="1" xfId="3" applyNumberFormat="1" applyFont="1" applyFill="1" applyBorder="1" applyAlignment="1">
      <alignment horizontal="center" vertical="center" wrapText="1"/>
    </xf>
    <xf numFmtId="0" fontId="9" fillId="4" borderId="1" xfId="3" applyFont="1" applyFill="1" applyBorder="1" applyAlignment="1">
      <alignment horizontal="center" vertical="center" wrapText="1"/>
    </xf>
    <xf numFmtId="14" fontId="8" fillId="0" borderId="0" xfId="0" applyNumberFormat="1" applyFont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4" fontId="10" fillId="3" borderId="6" xfId="0" applyNumberFormat="1" applyFont="1" applyFill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8" fillId="4" borderId="1" xfId="0" applyNumberFormat="1" applyFont="1" applyFill="1" applyBorder="1" applyAlignment="1">
      <alignment horizontal="center" vertical="center" wrapText="1"/>
    </xf>
    <xf numFmtId="0" fontId="8" fillId="4" borderId="1" xfId="0" applyNumberFormat="1" applyFont="1" applyFill="1" applyBorder="1" applyAlignment="1">
      <alignment horizontal="center" vertical="center"/>
    </xf>
    <xf numFmtId="0" fontId="8" fillId="0" borderId="1" xfId="0" applyNumberFormat="1" applyFont="1" applyBorder="1" applyAlignment="1">
      <alignment horizontal="center" vertical="center"/>
    </xf>
    <xf numFmtId="14" fontId="8" fillId="0" borderId="0" xfId="0" applyNumberFormat="1" applyFont="1" applyBorder="1" applyAlignment="1">
      <alignment horizontal="center" vertical="center"/>
    </xf>
    <xf numFmtId="14" fontId="9" fillId="4" borderId="7" xfId="0" applyNumberFormat="1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 wrapText="1"/>
    </xf>
    <xf numFmtId="0" fontId="8" fillId="4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1" fontId="8" fillId="4" borderId="7" xfId="0" applyNumberFormat="1" applyFont="1" applyFill="1" applyBorder="1" applyAlignment="1">
      <alignment horizontal="center" vertical="center" wrapText="1"/>
    </xf>
    <xf numFmtId="0" fontId="8" fillId="4" borderId="7" xfId="0" applyNumberFormat="1" applyFont="1" applyFill="1" applyBorder="1" applyAlignment="1">
      <alignment horizontal="center" vertical="center"/>
    </xf>
    <xf numFmtId="0" fontId="8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9" xfId="0" quotePrefix="1" applyBorder="1" applyAlignment="1">
      <alignment horizontal="center" vertical="center"/>
    </xf>
    <xf numFmtId="0" fontId="0" fillId="0" borderId="10" xfId="0" quotePrefix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2" xfId="0" quotePrefix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quotePrefix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quotePrefix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1" fillId="5" borderId="12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</cellXfs>
  <cellStyles count="10">
    <cellStyle name="Comma 2" xfId="5" xr:uid="{B2E83B30-BB0C-4851-9696-D8666BD5F014}"/>
    <cellStyle name="Normal" xfId="0" builtinId="0"/>
    <cellStyle name="Normal 2" xfId="2" xr:uid="{91FEC535-2374-48B9-9063-98C9EB502329}"/>
    <cellStyle name="Normal 2 2" xfId="6" xr:uid="{D025EAFB-1899-4CAE-A792-D069DC351AA0}"/>
    <cellStyle name="Normal 2 3" xfId="8" xr:uid="{6572AACF-D67A-4F7E-990D-771D77948CD8}"/>
    <cellStyle name="Normal 2 4" xfId="9" xr:uid="{31F45DFE-D8C3-4C20-B007-60E7FE8AE493}"/>
    <cellStyle name="Normal 3" xfId="3" xr:uid="{1763C57A-EA9A-4167-8D6B-89EC572FCCE4}"/>
    <cellStyle name="Normal 5" xfId="4" xr:uid="{78F0D4F9-FCFB-48A8-8FF0-94EB64340433}"/>
    <cellStyle name="Virgül 2" xfId="7" xr:uid="{778711E6-BBAF-445B-AFCC-0F46CD01167F}"/>
    <cellStyle name="Yüzde" xfId="1" builtinId="5"/>
  </cellStyles>
  <dxfs count="36">
    <dxf>
      <font>
        <b/>
        <i val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62"/>
        <scheme val="none"/>
      </font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9613DA-08E5-4196-8554-483BAAB1E937}" name="makaralar" displayName="makaralar" ref="A1:E108" totalsRowShown="0" headerRowDxfId="35" dataDxfId="33" headerRowBorderDxfId="34" tableBorderDxfId="32" headerRowCellStyle="Normal 2">
  <autoFilter ref="A1:E108" xr:uid="{659613DA-08E5-4196-8554-483BAAB1E937}"/>
  <tableColumns count="5">
    <tableColumn id="1" xr3:uid="{17E8F6B8-52E2-495A-A516-03100166A7EA}" name="KABLO CİNSİ" dataDxfId="31"/>
    <tableColumn id="2" xr3:uid="{77D344DA-A7DE-4541-907C-282105811D2B}" name="CORE" dataDxfId="30"/>
    <tableColumn id="3" xr3:uid="{4E44710C-6CA5-4877-BBA9-D006E300FEC6}" name="MAKARA NO" dataDxfId="29"/>
    <tableColumn id="4" xr3:uid="{E830A7F5-2562-4370-9B94-2AAB47D293F0}" name="UZUNLUK (mt)" dataDxfId="28"/>
    <tableColumn id="5" xr3:uid="{33468E64-B1FD-42CD-931A-6A61C290AF60}" name="KALAN (mt)" dataDxfId="27">
      <calculatedColumnFormula>makaralar[[#This Row],[UZUNLUK (mt)]]-SUMIF(serim[Makara Numarası],makaralar[[#This Row],[MAKARA NO]],serim[Serim(m)])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6DB5CB-6E48-4D7E-8381-FE9FB959B7A5}" name="serim" displayName="serim" ref="A1:U111" totalsRowShown="0" headerRowDxfId="26" dataDxfId="25">
  <autoFilter ref="A1:U111" xr:uid="{356DB5CB-6E48-4D7E-8381-FE9FB959B7A5}">
    <filterColumn colId="5">
      <filters>
        <filter val="24 F/O"/>
        <filter val="24 F/O (H)"/>
      </filters>
    </filterColumn>
    <filterColumn colId="14">
      <filters>
        <filter val="2"/>
      </filters>
    </filterColumn>
  </autoFilter>
  <sortState xmlns:xlrd2="http://schemas.microsoft.com/office/spreadsheetml/2017/richdata2" ref="A3:U106">
    <sortCondition ref="L1:L111"/>
  </sortState>
  <tableColumns count="21">
    <tableColumn id="18" xr3:uid="{9285988D-10B2-49D9-B39A-DA50BCE8167B}" name="Tarih" dataDxfId="24"/>
    <tableColumn id="1" xr3:uid="{EA393767-EAE3-4CB6-862A-FE4CDCF32099}" name="Bina" dataDxfId="23"/>
    <tableColumn id="2" xr3:uid="{66E86C21-A024-408C-B0E0-B26461B41685}" name="Kablo Etiketi" dataDxfId="22"/>
    <tableColumn id="3" xr3:uid="{79BD999F-264C-42E1-85BC-882DD3F22134}" name="Nereden" dataDxfId="21"/>
    <tableColumn id="4" xr3:uid="{7105E24A-725E-4314-B077-C94937453890}" name="Nereye" dataDxfId="20"/>
    <tableColumn id="5" xr3:uid="{AC411915-74F6-43AB-97D6-11D208C90B7E}" name="Kablo Tipi" dataDxfId="19"/>
    <tableColumn id="6" xr3:uid="{A5E9322C-DAB3-4405-9358-C0424EF61199}" name="Makara Numarası" dataDxfId="18"/>
    <tableColumn id="7" xr3:uid="{6248D6A4-5FB9-4E32-8063-8FA34801C0FA}" name="Makara Uzunluğu" dataDxfId="17"/>
    <tableColumn id="8" xr3:uid="{B23C4A61-E9E5-485B-A76A-2D5B40A80FBE}" name="Makara Başlangıç" dataDxfId="16"/>
    <tableColumn id="9" xr3:uid="{E5D481DF-B96B-4FBB-9B18-47B9E15BBA50}" name="Makara Bitiş" dataDxfId="15"/>
    <tableColumn id="10" xr3:uid="{052DAC34-B45E-44B8-8449-39BB51725B92}" name="Başlangıç Elemanı" dataDxfId="14"/>
    <tableColumn id="11" xr3:uid="{60DDC14B-78C3-43B6-B386-761F40AD9AC9}" name="Başlangıç Km" dataDxfId="13"/>
    <tableColumn id="12" xr3:uid="{11EC2F38-934D-4E28-961F-1D9F604D5F93}" name="Bitiş Elemanı" dataDxfId="12"/>
    <tableColumn id="13" xr3:uid="{1408F925-8058-4C15-A687-EC048D995841}" name="Bitiş Km" dataDxfId="11"/>
    <tableColumn id="14" xr3:uid="{4539E07E-E887-428A-8010-48819A643913}" name="Hat 1 / Hat 2" dataDxfId="10"/>
    <tableColumn id="15" xr3:uid="{B97DCD0A-1214-45B4-9CC9-B89C525C52AC}" name="Ek Km" dataDxfId="9"/>
    <tableColumn id="16" xr3:uid="{9ABF36AC-490C-4313-BBA0-E179DE4C8738}" name="Makara Kalan Uzunluk" dataDxfId="8"/>
    <tableColumn id="17" xr3:uid="{2513CC36-137B-4269-8041-55DD22E7DDBE}" name="Serim(m)" dataDxfId="7"/>
    <tableColumn id="19" xr3:uid="{45CCF720-6F8D-4BBB-A3ED-00FF4C159B23}" name="Metraj Hatası" dataDxfId="6">
      <calculatedColumnFormula array="1">IF(SUMPRODUCT((makaralar[MAKARA NO]=serim[[#This Row],[Makara Numarası]])*(makaralar[KALAN (mt)]&lt;0))&gt;0,
    "HATA VAR",
    "")</calculatedColumnFormula>
    </tableColumn>
    <tableColumn id="20" xr3:uid="{6E5F671A-A9E8-4E51-873F-5B008B30B36A}" name="Core Hatası" dataDxfId="5">
      <calculatedColumnFormula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calculatedColumnFormula>
    </tableColumn>
    <tableColumn id="21" xr3:uid="{DE268E8C-CF31-47A1-8569-416018A95A85}" name="Kılıf Hatası" dataDxfId="4">
      <calculatedColumnFormula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ABC74-3F0D-4B86-8DAA-63BF429A8DC5}">
  <dimension ref="A1:I8"/>
  <sheetViews>
    <sheetView workbookViewId="0">
      <selection activeCell="C22" sqref="C22"/>
    </sheetView>
  </sheetViews>
  <sheetFormatPr defaultRowHeight="14.4" x14ac:dyDescent="0.3"/>
  <cols>
    <col min="1" max="1" width="14" style="1" bestFit="1" customWidth="1"/>
    <col min="2" max="2" width="18.44140625" style="1" bestFit="1" customWidth="1"/>
    <col min="3" max="3" width="19.5546875" style="1" bestFit="1" customWidth="1"/>
    <col min="4" max="4" width="19.21875" style="1" bestFit="1" customWidth="1"/>
    <col min="5" max="5" width="18.88671875" style="1" bestFit="1" customWidth="1"/>
    <col min="6" max="6" width="16.88671875" style="1" bestFit="1" customWidth="1"/>
    <col min="7" max="7" width="27.77734375" style="1" bestFit="1" customWidth="1"/>
    <col min="8" max="8" width="20.109375" style="1" bestFit="1" customWidth="1"/>
    <col min="9" max="9" width="27.109375" style="1" bestFit="1" customWidth="1"/>
    <col min="10" max="11" width="14" style="1" bestFit="1" customWidth="1"/>
    <col min="12" max="16384" width="8.88671875" style="1"/>
  </cols>
  <sheetData>
    <row r="1" spans="1:9" x14ac:dyDescent="0.3">
      <c r="A1" s="4" t="s">
        <v>330</v>
      </c>
      <c r="B1" s="4" t="s">
        <v>332</v>
      </c>
      <c r="C1" s="4" t="s">
        <v>333</v>
      </c>
      <c r="D1" s="4" t="s">
        <v>334</v>
      </c>
      <c r="E1" s="4" t="s">
        <v>335</v>
      </c>
      <c r="F1" s="4" t="s">
        <v>336</v>
      </c>
      <c r="G1" s="4" t="s">
        <v>329</v>
      </c>
      <c r="H1" s="4" t="s">
        <v>331</v>
      </c>
      <c r="I1" s="4" t="s">
        <v>337</v>
      </c>
    </row>
    <row r="2" spans="1:9" x14ac:dyDescent="0.3">
      <c r="A2" s="5" t="s">
        <v>324</v>
      </c>
      <c r="B2" s="7">
        <v>70000</v>
      </c>
      <c r="C2" s="7">
        <f>SUMIFS(makaralar[UZUNLUK (mt)],
           makaralar[CORE], 288,
           makaralar[KABLO CİNSİ], "A-DQ")</f>
        <v>48618</v>
      </c>
      <c r="D2" s="7">
        <f>B2-C2</f>
        <v>21382</v>
      </c>
      <c r="E2" s="7">
        <f>SUMIF(serim[Kablo Tipi],"288 F/O (H)",serim[Serim(m)])</f>
        <v>23863</v>
      </c>
      <c r="F2" s="8">
        <f>C2-E2</f>
        <v>24755</v>
      </c>
      <c r="G2" s="6">
        <f>C2/B2</f>
        <v>0.69454285714285713</v>
      </c>
      <c r="H2" s="6">
        <f>E2/C2</f>
        <v>0.49082644288123739</v>
      </c>
      <c r="I2" s="6">
        <f>E2/B2</f>
        <v>0.34089999999999998</v>
      </c>
    </row>
    <row r="3" spans="1:9" x14ac:dyDescent="0.3">
      <c r="A3" s="5" t="s">
        <v>325</v>
      </c>
      <c r="B3" s="7">
        <v>145000</v>
      </c>
      <c r="C3" s="7">
        <f>SUMIFS(makaralar[UZUNLUK (mt)],
           makaralar[CORE], 288,
           makaralar[KABLO CİNSİ], "A-DF")</f>
        <v>92890</v>
      </c>
      <c r="D3" s="7">
        <f t="shared" ref="D3:D5" si="0">B3-C3</f>
        <v>52110</v>
      </c>
      <c r="E3" s="7">
        <f ca="1">SUMIF(serim[Kablo Tipi],"288 F/O",serim[[#Headers],[Serim(m)]])</f>
        <v>33162</v>
      </c>
      <c r="F3" s="8">
        <f t="shared" ref="F3:F5" ca="1" si="1">C3-E3</f>
        <v>59728</v>
      </c>
      <c r="G3" s="6">
        <f>C3/B3</f>
        <v>0.64062068965517238</v>
      </c>
      <c r="H3" s="6">
        <f ca="1">E3/C3</f>
        <v>0.35700290666379586</v>
      </c>
      <c r="I3" s="6">
        <f ca="1">E3/B3</f>
        <v>0.22870344827586206</v>
      </c>
    </row>
    <row r="4" spans="1:9" x14ac:dyDescent="0.3">
      <c r="A4" s="5" t="s">
        <v>326</v>
      </c>
      <c r="B4" s="7">
        <v>70000</v>
      </c>
      <c r="C4" s="7">
        <f>SUMIFS(makaralar[UZUNLUK (mt)],
           makaralar[CORE], 24,
           makaralar[KABLO CİNSİ], "A-DQ")</f>
        <v>53067</v>
      </c>
      <c r="D4" s="7">
        <f t="shared" si="0"/>
        <v>16933</v>
      </c>
      <c r="E4" s="7">
        <f>SUMIF(serim[Kablo Tipi],"24 F/O (H)",serim[Serim(m)])</f>
        <v>26855</v>
      </c>
      <c r="F4" s="8">
        <f t="shared" si="1"/>
        <v>26212</v>
      </c>
      <c r="G4" s="6">
        <f>C4/B4</f>
        <v>0.7581</v>
      </c>
      <c r="H4" s="6">
        <f>E4/C4</f>
        <v>0.5060583790302825</v>
      </c>
      <c r="I4" s="6">
        <f>E4/B4</f>
        <v>0.38364285714285712</v>
      </c>
    </row>
    <row r="5" spans="1:9" x14ac:dyDescent="0.3">
      <c r="A5" s="5" t="s">
        <v>327</v>
      </c>
      <c r="B5" s="7">
        <v>145000</v>
      </c>
      <c r="C5" s="7">
        <f>SUMIFS(makaralar[UZUNLUK (mt)],
           makaralar[CORE], 24,
           makaralar[KABLO CİNSİ], "A-DF")</f>
        <v>97828</v>
      </c>
      <c r="D5" s="7">
        <f t="shared" si="0"/>
        <v>47172</v>
      </c>
      <c r="E5" s="7">
        <f>SUMIF(serim[Kablo Tipi],"24 F/O",serim[Serim(m)])</f>
        <v>42701</v>
      </c>
      <c r="F5" s="8">
        <f t="shared" si="1"/>
        <v>55127</v>
      </c>
      <c r="G5" s="6">
        <f>C5/B5</f>
        <v>0.67467586206896557</v>
      </c>
      <c r="H5" s="6">
        <f>E5/C5</f>
        <v>0.43649057529541646</v>
      </c>
      <c r="I5" s="6">
        <f>E5/B5</f>
        <v>0.29448965517241377</v>
      </c>
    </row>
    <row r="7" spans="1:9" x14ac:dyDescent="0.3">
      <c r="A7" s="4" t="s">
        <v>328</v>
      </c>
    </row>
    <row r="8" spans="1:9" x14ac:dyDescent="0.3">
      <c r="A8" s="9">
        <f ca="1">SUM(E2:E5)/SUM(B2:B5)</f>
        <v>0.29437441860465119</v>
      </c>
    </row>
  </sheetData>
  <pageMargins left="0.7" right="0.7" top="0.75" bottom="0.75" header="0.3" footer="0.3"/>
  <headerFooter>
    <oddHeader>&amp;L&amp;"Aptos"&amp;10&amp;KFF0000 Çok Gizli (Top Secret)&amp;1#_x000D_</oddHeader>
    <oddFooter>&amp;L_x000D_&amp;1#&amp;"Aptos"&amp;10&amp;KFF0000 Çok Gizli (Top Secret)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8"/>
  <sheetViews>
    <sheetView topLeftCell="A29" workbookViewId="0">
      <selection activeCell="C47" sqref="C47"/>
    </sheetView>
  </sheetViews>
  <sheetFormatPr defaultRowHeight="14.4" x14ac:dyDescent="0.3"/>
  <cols>
    <col min="1" max="1" width="17.21875" style="1" bestFit="1" customWidth="1"/>
    <col min="2" max="2" width="10.77734375" style="1" bestFit="1" customWidth="1"/>
    <col min="3" max="3" width="17.6640625" style="1" bestFit="1" customWidth="1"/>
    <col min="4" max="4" width="18.44140625" style="1" bestFit="1" customWidth="1"/>
    <col min="5" max="5" width="15.77734375" style="1" customWidth="1"/>
    <col min="6" max="6" width="9.5546875" style="1" bestFit="1" customWidth="1"/>
    <col min="7" max="7" width="22.77734375" style="1" bestFit="1" customWidth="1"/>
    <col min="8" max="16384" width="8.88671875" style="1"/>
  </cols>
  <sheetData>
    <row r="1" spans="1:5" x14ac:dyDescent="0.3">
      <c r="A1" s="2" t="s">
        <v>0</v>
      </c>
      <c r="B1" s="2" t="s">
        <v>113</v>
      </c>
      <c r="C1" s="2" t="s">
        <v>1</v>
      </c>
      <c r="D1" s="2" t="s">
        <v>112</v>
      </c>
      <c r="E1" s="2" t="s">
        <v>40</v>
      </c>
    </row>
    <row r="2" spans="1:5" x14ac:dyDescent="0.3">
      <c r="A2" s="1" t="s">
        <v>110</v>
      </c>
      <c r="B2" s="1">
        <v>24</v>
      </c>
      <c r="C2" s="1" t="s">
        <v>41</v>
      </c>
      <c r="D2" s="3">
        <v>4055</v>
      </c>
      <c r="E2" s="3">
        <f>makaralar[[#This Row],[UZUNLUK (mt)]]-SUMIF(serim[Makara Numarası],makaralar[[#This Row],[MAKARA NO]],serim[Serim(m)])</f>
        <v>0</v>
      </c>
    </row>
    <row r="3" spans="1:5" x14ac:dyDescent="0.3">
      <c r="A3" s="1" t="s">
        <v>110</v>
      </c>
      <c r="B3" s="1">
        <v>24</v>
      </c>
      <c r="C3" s="1" t="s">
        <v>42</v>
      </c>
      <c r="D3" s="3">
        <v>4102</v>
      </c>
      <c r="E3" s="3">
        <f>makaralar[[#This Row],[UZUNLUK (mt)]]-SUMIF(serim[Makara Numarası],makaralar[[#This Row],[MAKARA NO]],serim[Serim(m)])</f>
        <v>0</v>
      </c>
    </row>
    <row r="4" spans="1:5" x14ac:dyDescent="0.3">
      <c r="A4" s="1" t="s">
        <v>110</v>
      </c>
      <c r="B4" s="1">
        <v>24</v>
      </c>
      <c r="C4" s="1" t="s">
        <v>43</v>
      </c>
      <c r="D4" s="3">
        <v>4052</v>
      </c>
      <c r="E4" s="3">
        <f>makaralar[[#This Row],[UZUNLUK (mt)]]-SUMIF(serim[Makara Numarası],makaralar[[#This Row],[MAKARA NO]],serim[Serim(m)])</f>
        <v>0</v>
      </c>
    </row>
    <row r="5" spans="1:5" x14ac:dyDescent="0.3">
      <c r="A5" s="1" t="s">
        <v>111</v>
      </c>
      <c r="B5" s="1">
        <v>24</v>
      </c>
      <c r="C5" s="1" t="s">
        <v>44</v>
      </c>
      <c r="D5" s="3">
        <v>4093</v>
      </c>
      <c r="E5" s="3">
        <f>makaralar[[#This Row],[UZUNLUK (mt)]]-SUMIF(serim[Makara Numarası],makaralar[[#This Row],[MAKARA NO]],serim[Serim(m)])</f>
        <v>4093</v>
      </c>
    </row>
    <row r="6" spans="1:5" x14ac:dyDescent="0.3">
      <c r="A6" s="1" t="s">
        <v>111</v>
      </c>
      <c r="B6" s="1">
        <v>24</v>
      </c>
      <c r="C6" s="1" t="s">
        <v>45</v>
      </c>
      <c r="D6" s="3">
        <v>4073</v>
      </c>
      <c r="E6" s="3">
        <f>makaralar[[#This Row],[UZUNLUK (mt)]]-SUMIF(serim[Makara Numarası],makaralar[[#This Row],[MAKARA NO]],serim[Serim(m)])</f>
        <v>0</v>
      </c>
    </row>
    <row r="7" spans="1:5" x14ac:dyDescent="0.3">
      <c r="A7" s="1" t="s">
        <v>111</v>
      </c>
      <c r="B7" s="1">
        <v>24</v>
      </c>
      <c r="C7" s="1" t="s">
        <v>46</v>
      </c>
      <c r="D7" s="3">
        <v>4048</v>
      </c>
      <c r="E7" s="3">
        <f>makaralar[[#This Row],[UZUNLUK (mt)]]-SUMIF(serim[Makara Numarası],makaralar[[#This Row],[MAKARA NO]],serim[Serim(m)])</f>
        <v>4048</v>
      </c>
    </row>
    <row r="8" spans="1:5" x14ac:dyDescent="0.3">
      <c r="A8" s="1" t="s">
        <v>111</v>
      </c>
      <c r="B8" s="1">
        <v>24</v>
      </c>
      <c r="C8" s="1" t="s">
        <v>47</v>
      </c>
      <c r="D8" s="3">
        <v>4089</v>
      </c>
      <c r="E8" s="3">
        <f>makaralar[[#This Row],[UZUNLUK (mt)]]-SUMIF(serim[Makara Numarası],makaralar[[#This Row],[MAKARA NO]],serim[Serim(m)])</f>
        <v>0</v>
      </c>
    </row>
    <row r="9" spans="1:5" x14ac:dyDescent="0.3">
      <c r="A9" s="1" t="s">
        <v>111</v>
      </c>
      <c r="B9" s="1">
        <v>24</v>
      </c>
      <c r="C9" s="1" t="s">
        <v>48</v>
      </c>
      <c r="D9" s="3">
        <v>4080</v>
      </c>
      <c r="E9" s="3">
        <f>makaralar[[#This Row],[UZUNLUK (mt)]]-SUMIF(serim[Makara Numarası],makaralar[[#This Row],[MAKARA NO]],serim[Serim(m)])</f>
        <v>0</v>
      </c>
    </row>
    <row r="10" spans="1:5" x14ac:dyDescent="0.3">
      <c r="A10" s="1" t="s">
        <v>111</v>
      </c>
      <c r="B10" s="1">
        <v>24</v>
      </c>
      <c r="C10" s="1" t="s">
        <v>49</v>
      </c>
      <c r="D10" s="3">
        <v>4048</v>
      </c>
      <c r="E10" s="3">
        <f>makaralar[[#This Row],[UZUNLUK (mt)]]-SUMIF(serim[Makara Numarası],makaralar[[#This Row],[MAKARA NO]],serim[Serim(m)])</f>
        <v>1</v>
      </c>
    </row>
    <row r="11" spans="1:5" x14ac:dyDescent="0.3">
      <c r="A11" s="1" t="s">
        <v>111</v>
      </c>
      <c r="B11" s="1">
        <v>24</v>
      </c>
      <c r="C11" s="1" t="s">
        <v>50</v>
      </c>
      <c r="D11" s="3">
        <v>4096</v>
      </c>
      <c r="E11" s="3">
        <f>makaralar[[#This Row],[UZUNLUK (mt)]]-SUMIF(serim[Makara Numarası],makaralar[[#This Row],[MAKARA NO]],serim[Serim(m)])</f>
        <v>4096</v>
      </c>
    </row>
    <row r="12" spans="1:5" x14ac:dyDescent="0.3">
      <c r="A12" s="1" t="s">
        <v>111</v>
      </c>
      <c r="B12" s="1">
        <v>24</v>
      </c>
      <c r="C12" s="1" t="s">
        <v>51</v>
      </c>
      <c r="D12" s="3">
        <v>4115</v>
      </c>
      <c r="E12" s="3">
        <f>makaralar[[#This Row],[UZUNLUK (mt)]]-SUMIF(serim[Makara Numarası],makaralar[[#This Row],[MAKARA NO]],serim[Serim(m)])</f>
        <v>110</v>
      </c>
    </row>
    <row r="13" spans="1:5" x14ac:dyDescent="0.3">
      <c r="A13" s="1" t="s">
        <v>111</v>
      </c>
      <c r="B13" s="1">
        <v>288</v>
      </c>
      <c r="C13" s="1" t="s">
        <v>52</v>
      </c>
      <c r="D13" s="3">
        <v>2019</v>
      </c>
      <c r="E13" s="3">
        <f>makaralar[[#This Row],[UZUNLUK (mt)]]-SUMIF(serim[Makara Numarası],makaralar[[#This Row],[MAKARA NO]],serim[Serim(m)])</f>
        <v>0</v>
      </c>
    </row>
    <row r="14" spans="1:5" x14ac:dyDescent="0.3">
      <c r="A14" s="1" t="s">
        <v>111</v>
      </c>
      <c r="B14" s="1">
        <v>288</v>
      </c>
      <c r="C14" s="1" t="s">
        <v>53</v>
      </c>
      <c r="D14" s="3">
        <v>2018</v>
      </c>
      <c r="E14" s="3">
        <f>makaralar[[#This Row],[UZUNLUK (mt)]]-SUMIF(serim[Makara Numarası],makaralar[[#This Row],[MAKARA NO]],serim[Serim(m)])</f>
        <v>2018</v>
      </c>
    </row>
    <row r="15" spans="1:5" x14ac:dyDescent="0.3">
      <c r="A15" s="1" t="s">
        <v>111</v>
      </c>
      <c r="B15" s="1">
        <v>288</v>
      </c>
      <c r="C15" s="1" t="s">
        <v>54</v>
      </c>
      <c r="D15" s="3">
        <v>2024</v>
      </c>
      <c r="E15" s="3">
        <f>makaralar[[#This Row],[UZUNLUK (mt)]]-SUMIF(serim[Makara Numarası],makaralar[[#This Row],[MAKARA NO]],serim[Serim(m)])</f>
        <v>0</v>
      </c>
    </row>
    <row r="16" spans="1:5" x14ac:dyDescent="0.3">
      <c r="A16" s="1" t="s">
        <v>111</v>
      </c>
      <c r="B16" s="1">
        <v>288</v>
      </c>
      <c r="C16" s="1" t="s">
        <v>55</v>
      </c>
      <c r="D16" s="3">
        <v>2045</v>
      </c>
      <c r="E16" s="3">
        <f>makaralar[[#This Row],[UZUNLUK (mt)]]-SUMIF(serim[Makara Numarası],makaralar[[#This Row],[MAKARA NO]],serim[Serim(m)])</f>
        <v>1000</v>
      </c>
    </row>
    <row r="17" spans="1:5" x14ac:dyDescent="0.3">
      <c r="A17" s="1" t="s">
        <v>111</v>
      </c>
      <c r="B17" s="1">
        <v>288</v>
      </c>
      <c r="C17" s="1" t="s">
        <v>56</v>
      </c>
      <c r="D17" s="3">
        <v>2019</v>
      </c>
      <c r="E17" s="3">
        <f>makaralar[[#This Row],[UZUNLUK (mt)]]-SUMIF(serim[Makara Numarası],makaralar[[#This Row],[MAKARA NO]],serim[Serim(m)])</f>
        <v>0</v>
      </c>
    </row>
    <row r="18" spans="1:5" x14ac:dyDescent="0.3">
      <c r="A18" s="1" t="s">
        <v>111</v>
      </c>
      <c r="B18" s="1">
        <v>288</v>
      </c>
      <c r="C18" s="1" t="s">
        <v>57</v>
      </c>
      <c r="D18" s="3">
        <v>2021</v>
      </c>
      <c r="E18" s="3">
        <f>makaralar[[#This Row],[UZUNLUK (mt)]]-SUMIF(serim[Makara Numarası],makaralar[[#This Row],[MAKARA NO]],serim[Serim(m)])</f>
        <v>2</v>
      </c>
    </row>
    <row r="19" spans="1:5" x14ac:dyDescent="0.3">
      <c r="A19" s="1" t="s">
        <v>111</v>
      </c>
      <c r="B19" s="1">
        <v>288</v>
      </c>
      <c r="C19" s="1" t="s">
        <v>58</v>
      </c>
      <c r="D19" s="3">
        <v>2010</v>
      </c>
      <c r="E19" s="3">
        <f>makaralar[[#This Row],[UZUNLUK (mt)]]-SUMIF(serim[Makara Numarası],makaralar[[#This Row],[MAKARA NO]],serim[Serim(m)])</f>
        <v>0</v>
      </c>
    </row>
    <row r="20" spans="1:5" x14ac:dyDescent="0.3">
      <c r="A20" s="1" t="s">
        <v>111</v>
      </c>
      <c r="B20" s="1">
        <v>288</v>
      </c>
      <c r="C20" s="1" t="s">
        <v>59</v>
      </c>
      <c r="D20" s="3">
        <v>1945</v>
      </c>
      <c r="E20" s="3">
        <f>makaralar[[#This Row],[UZUNLUK (mt)]]-SUMIF(serim[Makara Numarası],makaralar[[#This Row],[MAKARA NO]],serim[Serim(m)])</f>
        <v>0</v>
      </c>
    </row>
    <row r="21" spans="1:5" x14ac:dyDescent="0.3">
      <c r="A21" s="1" t="s">
        <v>111</v>
      </c>
      <c r="B21" s="1">
        <v>288</v>
      </c>
      <c r="C21" s="1" t="s">
        <v>60</v>
      </c>
      <c r="D21" s="3">
        <v>2029</v>
      </c>
      <c r="E21" s="3">
        <f>makaralar[[#This Row],[UZUNLUK (mt)]]-SUMIF(serim[Makara Numarası],makaralar[[#This Row],[MAKARA NO]],serim[Serim(m)])</f>
        <v>0</v>
      </c>
    </row>
    <row r="22" spans="1:5" x14ac:dyDescent="0.3">
      <c r="A22" s="1" t="s">
        <v>111</v>
      </c>
      <c r="B22" s="1">
        <v>288</v>
      </c>
      <c r="C22" s="1" t="s">
        <v>61</v>
      </c>
      <c r="D22" s="3">
        <v>2048</v>
      </c>
      <c r="E22" s="3">
        <f>makaralar[[#This Row],[UZUNLUK (mt)]]-SUMIF(serim[Makara Numarası],makaralar[[#This Row],[MAKARA NO]],serim[Serim(m)])</f>
        <v>0</v>
      </c>
    </row>
    <row r="23" spans="1:5" x14ac:dyDescent="0.3">
      <c r="A23" s="1" t="s">
        <v>111</v>
      </c>
      <c r="B23" s="1">
        <v>288</v>
      </c>
      <c r="C23" s="1" t="s">
        <v>62</v>
      </c>
      <c r="D23" s="3">
        <v>2013</v>
      </c>
      <c r="E23" s="3">
        <f>makaralar[[#This Row],[UZUNLUK (mt)]]-SUMIF(serim[Makara Numarası],makaralar[[#This Row],[MAKARA NO]],serim[Serim(m)])</f>
        <v>2013</v>
      </c>
    </row>
    <row r="24" spans="1:5" x14ac:dyDescent="0.3">
      <c r="A24" s="1" t="s">
        <v>111</v>
      </c>
      <c r="B24" s="1">
        <v>288</v>
      </c>
      <c r="C24" s="1" t="s">
        <v>63</v>
      </c>
      <c r="D24" s="3">
        <v>2013</v>
      </c>
      <c r="E24" s="3">
        <f>makaralar[[#This Row],[UZUNLUK (mt)]]-SUMIF(serim[Makara Numarası],makaralar[[#This Row],[MAKARA NO]],serim[Serim(m)])</f>
        <v>0</v>
      </c>
    </row>
    <row r="25" spans="1:5" x14ac:dyDescent="0.3">
      <c r="A25" s="1" t="s">
        <v>111</v>
      </c>
      <c r="B25" s="1">
        <v>288</v>
      </c>
      <c r="C25" s="1" t="s">
        <v>64</v>
      </c>
      <c r="D25" s="3">
        <v>2013</v>
      </c>
      <c r="E25" s="3">
        <f>makaralar[[#This Row],[UZUNLUK (mt)]]-SUMIF(serim[Makara Numarası],makaralar[[#This Row],[MAKARA NO]],serim[Serim(m)])</f>
        <v>0</v>
      </c>
    </row>
    <row r="26" spans="1:5" x14ac:dyDescent="0.3">
      <c r="A26" s="1" t="s">
        <v>111</v>
      </c>
      <c r="B26" s="1">
        <v>288</v>
      </c>
      <c r="C26" s="1" t="s">
        <v>65</v>
      </c>
      <c r="D26" s="3">
        <v>2035</v>
      </c>
      <c r="E26" s="3">
        <f>makaralar[[#This Row],[UZUNLUK (mt)]]-SUMIF(serim[Makara Numarası],makaralar[[#This Row],[MAKARA NO]],serim[Serim(m)])</f>
        <v>425</v>
      </c>
    </row>
    <row r="27" spans="1:5" x14ac:dyDescent="0.3">
      <c r="A27" s="1" t="s">
        <v>111</v>
      </c>
      <c r="B27" s="1">
        <v>24</v>
      </c>
      <c r="C27" s="1" t="s">
        <v>66</v>
      </c>
      <c r="D27" s="3">
        <v>4075</v>
      </c>
      <c r="E27" s="3">
        <f>makaralar[[#This Row],[UZUNLUK (mt)]]-SUMIF(serim[Makara Numarası],makaralar[[#This Row],[MAKARA NO]],serim[Serim(m)])</f>
        <v>4075</v>
      </c>
    </row>
    <row r="28" spans="1:5" x14ac:dyDescent="0.3">
      <c r="A28" s="1" t="s">
        <v>111</v>
      </c>
      <c r="B28" s="1">
        <v>24</v>
      </c>
      <c r="C28" s="1" t="s">
        <v>67</v>
      </c>
      <c r="D28" s="3">
        <v>4079</v>
      </c>
      <c r="E28" s="3">
        <f>makaralar[[#This Row],[UZUNLUK (mt)]]-SUMIF(serim[Makara Numarası],makaralar[[#This Row],[MAKARA NO]],serim[Serim(m)])</f>
        <v>0</v>
      </c>
    </row>
    <row r="29" spans="1:5" x14ac:dyDescent="0.3">
      <c r="A29" s="1" t="s">
        <v>111</v>
      </c>
      <c r="B29" s="1">
        <v>24</v>
      </c>
      <c r="C29" s="1" t="s">
        <v>68</v>
      </c>
      <c r="D29" s="3">
        <v>4100</v>
      </c>
      <c r="E29" s="3">
        <f>makaralar[[#This Row],[UZUNLUK (mt)]]-SUMIF(serim[Makara Numarası],makaralar[[#This Row],[MAKARA NO]],serim[Serim(m)])</f>
        <v>0</v>
      </c>
    </row>
    <row r="30" spans="1:5" x14ac:dyDescent="0.3">
      <c r="A30" s="1" t="s">
        <v>111</v>
      </c>
      <c r="B30" s="1">
        <v>24</v>
      </c>
      <c r="C30" s="1" t="s">
        <v>69</v>
      </c>
      <c r="D30" s="3">
        <v>4100</v>
      </c>
      <c r="E30" s="3">
        <f>makaralar[[#This Row],[UZUNLUK (mt)]]-SUMIF(serim[Makara Numarası],makaralar[[#This Row],[MAKARA NO]],serim[Serim(m)])</f>
        <v>0</v>
      </c>
    </row>
    <row r="31" spans="1:5" x14ac:dyDescent="0.3">
      <c r="A31" s="1" t="s">
        <v>111</v>
      </c>
      <c r="B31" s="1">
        <v>24</v>
      </c>
      <c r="C31" s="1" t="s">
        <v>70</v>
      </c>
      <c r="D31" s="3">
        <v>4049</v>
      </c>
      <c r="E31" s="3">
        <f>makaralar[[#This Row],[UZUNLUK (mt)]]-SUMIF(serim[Makara Numarası],makaralar[[#This Row],[MAKARA NO]],serim[Serim(m)])</f>
        <v>40</v>
      </c>
    </row>
    <row r="32" spans="1:5" x14ac:dyDescent="0.3">
      <c r="A32" s="1" t="s">
        <v>111</v>
      </c>
      <c r="B32" s="1">
        <v>24</v>
      </c>
      <c r="C32" s="1" t="s">
        <v>71</v>
      </c>
      <c r="D32" s="3">
        <v>4169</v>
      </c>
      <c r="E32" s="3">
        <f>makaralar[[#This Row],[UZUNLUK (mt)]]-SUMIF(serim[Makara Numarası],makaralar[[#This Row],[MAKARA NO]],serim[Serim(m)])</f>
        <v>60</v>
      </c>
    </row>
    <row r="33" spans="1:5" x14ac:dyDescent="0.3">
      <c r="A33" s="1" t="s">
        <v>110</v>
      </c>
      <c r="B33" s="1">
        <v>288</v>
      </c>
      <c r="C33" s="1" t="s">
        <v>72</v>
      </c>
      <c r="D33" s="3">
        <v>2015</v>
      </c>
      <c r="E33" s="3">
        <f>makaralar[[#This Row],[UZUNLUK (mt)]]-SUMIF(serim[Makara Numarası],makaralar[[#This Row],[MAKARA NO]],serim[Serim(m)])</f>
        <v>0</v>
      </c>
    </row>
    <row r="34" spans="1:5" x14ac:dyDescent="0.3">
      <c r="A34" s="1" t="s">
        <v>110</v>
      </c>
      <c r="B34" s="1">
        <v>288</v>
      </c>
      <c r="C34" s="1" t="s">
        <v>73</v>
      </c>
      <c r="D34" s="3">
        <v>2015</v>
      </c>
      <c r="E34" s="3">
        <f>makaralar[[#This Row],[UZUNLUK (mt)]]-SUMIF(serim[Makara Numarası],makaralar[[#This Row],[MAKARA NO]],serim[Serim(m)])</f>
        <v>0</v>
      </c>
    </row>
    <row r="35" spans="1:5" x14ac:dyDescent="0.3">
      <c r="A35" s="1" t="s">
        <v>110</v>
      </c>
      <c r="B35" s="1">
        <v>288</v>
      </c>
      <c r="C35" s="1" t="s">
        <v>74</v>
      </c>
      <c r="D35" s="3">
        <v>2009</v>
      </c>
      <c r="E35" s="3">
        <f>makaralar[[#This Row],[UZUNLUK (mt)]]-SUMIF(serim[Makara Numarası],makaralar[[#This Row],[MAKARA NO]],serim[Serim(m)])</f>
        <v>0</v>
      </c>
    </row>
    <row r="36" spans="1:5" x14ac:dyDescent="0.3">
      <c r="A36" s="1" t="s">
        <v>110</v>
      </c>
      <c r="B36" s="1">
        <v>288</v>
      </c>
      <c r="C36" s="1" t="s">
        <v>75</v>
      </c>
      <c r="D36" s="3">
        <v>2049</v>
      </c>
      <c r="E36" s="3">
        <f>makaralar[[#This Row],[UZUNLUK (mt)]]-SUMIF(serim[Makara Numarası],makaralar[[#This Row],[MAKARA NO]],serim[Serim(m)])</f>
        <v>0</v>
      </c>
    </row>
    <row r="37" spans="1:5" x14ac:dyDescent="0.3">
      <c r="A37" s="1" t="s">
        <v>110</v>
      </c>
      <c r="B37" s="1">
        <v>288</v>
      </c>
      <c r="C37" s="1" t="s">
        <v>76</v>
      </c>
      <c r="D37" s="3">
        <v>2023</v>
      </c>
      <c r="E37" s="3">
        <f>makaralar[[#This Row],[UZUNLUK (mt)]]-SUMIF(serim[Makara Numarası],makaralar[[#This Row],[MAKARA NO]],serim[Serim(m)])</f>
        <v>0</v>
      </c>
    </row>
    <row r="38" spans="1:5" x14ac:dyDescent="0.3">
      <c r="A38" s="1" t="s">
        <v>110</v>
      </c>
      <c r="B38" s="1">
        <v>288</v>
      </c>
      <c r="C38" s="1" t="s">
        <v>77</v>
      </c>
      <c r="D38" s="3">
        <v>2042</v>
      </c>
      <c r="E38" s="3">
        <f>makaralar[[#This Row],[UZUNLUK (mt)]]-SUMIF(serim[Makara Numarası],makaralar[[#This Row],[MAKARA NO]],serim[Serim(m)])</f>
        <v>0</v>
      </c>
    </row>
    <row r="39" spans="1:5" x14ac:dyDescent="0.3">
      <c r="A39" s="1" t="s">
        <v>110</v>
      </c>
      <c r="B39" s="1">
        <v>288</v>
      </c>
      <c r="C39" s="1" t="s">
        <v>78</v>
      </c>
      <c r="D39" s="3">
        <v>2014</v>
      </c>
      <c r="E39" s="3">
        <f>makaralar[[#This Row],[UZUNLUK (mt)]]-SUMIF(serim[Makara Numarası],makaralar[[#This Row],[MAKARA NO]],serim[Serim(m)])</f>
        <v>0</v>
      </c>
    </row>
    <row r="40" spans="1:5" x14ac:dyDescent="0.3">
      <c r="A40" s="1" t="s">
        <v>110</v>
      </c>
      <c r="B40" s="1">
        <v>288</v>
      </c>
      <c r="C40" s="1" t="s">
        <v>79</v>
      </c>
      <c r="D40" s="3">
        <v>2063</v>
      </c>
      <c r="E40" s="3">
        <f>makaralar[[#This Row],[UZUNLUK (mt)]]-SUMIF(serim[Makara Numarası],makaralar[[#This Row],[MAKARA NO]],serim[Serim(m)])</f>
        <v>0</v>
      </c>
    </row>
    <row r="41" spans="1:5" x14ac:dyDescent="0.3">
      <c r="A41" s="1" t="s">
        <v>111</v>
      </c>
      <c r="B41" s="1">
        <v>24</v>
      </c>
      <c r="C41" s="1" t="s">
        <v>80</v>
      </c>
      <c r="D41" s="3">
        <v>4084</v>
      </c>
      <c r="E41" s="3">
        <f>makaralar[[#This Row],[UZUNLUK (mt)]]-SUMIF(serim[Makara Numarası],makaralar[[#This Row],[MAKARA NO]],serim[Serim(m)])</f>
        <v>4084</v>
      </c>
    </row>
    <row r="42" spans="1:5" x14ac:dyDescent="0.3">
      <c r="A42" s="1" t="s">
        <v>111</v>
      </c>
      <c r="B42" s="1">
        <v>24</v>
      </c>
      <c r="C42" s="1" t="s">
        <v>81</v>
      </c>
      <c r="D42" s="3">
        <v>4050</v>
      </c>
      <c r="E42" s="3">
        <f>makaralar[[#This Row],[UZUNLUK (mt)]]-SUMIF(serim[Makara Numarası],makaralar[[#This Row],[MAKARA NO]],serim[Serim(m)])</f>
        <v>4050</v>
      </c>
    </row>
    <row r="43" spans="1:5" x14ac:dyDescent="0.3">
      <c r="A43" s="1" t="s">
        <v>110</v>
      </c>
      <c r="B43" s="1">
        <v>24</v>
      </c>
      <c r="C43" s="1" t="s">
        <v>82</v>
      </c>
      <c r="D43" s="3">
        <v>4032</v>
      </c>
      <c r="E43" s="3">
        <f>makaralar[[#This Row],[UZUNLUK (mt)]]-SUMIF(serim[Makara Numarası],makaralar[[#This Row],[MAKARA NO]],serim[Serim(m)])</f>
        <v>4032</v>
      </c>
    </row>
    <row r="44" spans="1:5" x14ac:dyDescent="0.3">
      <c r="A44" s="1" t="s">
        <v>110</v>
      </c>
      <c r="B44" s="1">
        <v>24</v>
      </c>
      <c r="C44" s="1" t="s">
        <v>83</v>
      </c>
      <c r="D44" s="3">
        <v>4060</v>
      </c>
      <c r="E44" s="3">
        <f>makaralar[[#This Row],[UZUNLUK (mt)]]-SUMIF(serim[Makara Numarası],makaralar[[#This Row],[MAKARA NO]],serim[Serim(m)])</f>
        <v>630</v>
      </c>
    </row>
    <row r="45" spans="1:5" x14ac:dyDescent="0.3">
      <c r="A45" s="1" t="s">
        <v>110</v>
      </c>
      <c r="B45" s="1">
        <v>24</v>
      </c>
      <c r="C45" s="1" t="s">
        <v>84</v>
      </c>
      <c r="D45" s="3">
        <v>4106</v>
      </c>
      <c r="E45" s="3">
        <f>makaralar[[#This Row],[UZUNLUK (mt)]]-SUMIF(serim[Makara Numarası],makaralar[[#This Row],[MAKARA NO]],serim[Serim(m)])</f>
        <v>51</v>
      </c>
    </row>
    <row r="46" spans="1:5" x14ac:dyDescent="0.3">
      <c r="A46" s="1" t="s">
        <v>110</v>
      </c>
      <c r="B46" s="1">
        <v>24</v>
      </c>
      <c r="C46" s="1" t="s">
        <v>85</v>
      </c>
      <c r="D46" s="3">
        <v>4042</v>
      </c>
      <c r="E46" s="3">
        <f>makaralar[[#This Row],[UZUNLUK (mt)]]-SUMIF(serim[Makara Numarası],makaralar[[#This Row],[MAKARA NO]],serim[Serim(m)])</f>
        <v>0</v>
      </c>
    </row>
    <row r="47" spans="1:5" x14ac:dyDescent="0.3">
      <c r="A47" s="1" t="s">
        <v>110</v>
      </c>
      <c r="B47" s="1">
        <v>24</v>
      </c>
      <c r="C47" s="1" t="s">
        <v>86</v>
      </c>
      <c r="D47" s="3">
        <v>4096</v>
      </c>
      <c r="E47" s="3">
        <f>makaralar[[#This Row],[UZUNLUK (mt)]]-SUMIF(serim[Makara Numarası],makaralar[[#This Row],[MAKARA NO]],serim[Serim(m)])</f>
        <v>85</v>
      </c>
    </row>
    <row r="48" spans="1:5" x14ac:dyDescent="0.3">
      <c r="A48" s="1" t="s">
        <v>110</v>
      </c>
      <c r="B48" s="1">
        <v>288</v>
      </c>
      <c r="C48" s="1" t="s">
        <v>87</v>
      </c>
      <c r="D48" s="3">
        <v>2014</v>
      </c>
      <c r="E48" s="3">
        <f>makaralar[[#This Row],[UZUNLUK (mt)]]-SUMIF(serim[Makara Numarası],makaralar[[#This Row],[MAKARA NO]],serim[Serim(m)])</f>
        <v>0</v>
      </c>
    </row>
    <row r="49" spans="1:5" x14ac:dyDescent="0.3">
      <c r="A49" s="1" t="s">
        <v>110</v>
      </c>
      <c r="B49" s="1">
        <v>288</v>
      </c>
      <c r="C49" s="1" t="s">
        <v>88</v>
      </c>
      <c r="D49" s="3">
        <v>2014</v>
      </c>
      <c r="E49" s="3">
        <f>makaralar[[#This Row],[UZUNLUK (mt)]]-SUMIF(serim[Makara Numarası],makaralar[[#This Row],[MAKARA NO]],serim[Serim(m)])</f>
        <v>0</v>
      </c>
    </row>
    <row r="50" spans="1:5" x14ac:dyDescent="0.3">
      <c r="A50" s="1" t="s">
        <v>110</v>
      </c>
      <c r="B50" s="1">
        <v>288</v>
      </c>
      <c r="C50" s="1" t="s">
        <v>89</v>
      </c>
      <c r="D50" s="3">
        <v>2012</v>
      </c>
      <c r="E50" s="3">
        <f>makaralar[[#This Row],[UZUNLUK (mt)]]-SUMIF(serim[Makara Numarası],makaralar[[#This Row],[MAKARA NO]],serim[Serim(m)])</f>
        <v>2012</v>
      </c>
    </row>
    <row r="51" spans="1:5" x14ac:dyDescent="0.3">
      <c r="A51" s="1" t="s">
        <v>110</v>
      </c>
      <c r="B51" s="1">
        <v>288</v>
      </c>
      <c r="C51" s="1" t="s">
        <v>90</v>
      </c>
      <c r="D51" s="3">
        <v>2050</v>
      </c>
      <c r="E51" s="3">
        <f>makaralar[[#This Row],[UZUNLUK (mt)]]-SUMIF(serim[Makara Numarası],makaralar[[#This Row],[MAKARA NO]],serim[Serim(m)])</f>
        <v>2050</v>
      </c>
    </row>
    <row r="52" spans="1:5" x14ac:dyDescent="0.3">
      <c r="A52" s="1" t="s">
        <v>110</v>
      </c>
      <c r="B52" s="1">
        <v>288</v>
      </c>
      <c r="C52" s="1" t="s">
        <v>91</v>
      </c>
      <c r="D52" s="3">
        <v>2000</v>
      </c>
      <c r="E52" s="3">
        <f>makaralar[[#This Row],[UZUNLUK (mt)]]-SUMIF(serim[Makara Numarası],makaralar[[#This Row],[MAKARA NO]],serim[Serim(m)])</f>
        <v>2000</v>
      </c>
    </row>
    <row r="53" spans="1:5" x14ac:dyDescent="0.3">
      <c r="A53" s="1" t="s">
        <v>110</v>
      </c>
      <c r="B53" s="1">
        <v>288</v>
      </c>
      <c r="C53" s="1" t="s">
        <v>92</v>
      </c>
      <c r="D53" s="3">
        <v>2000</v>
      </c>
      <c r="E53" s="3">
        <f>makaralar[[#This Row],[UZUNLUK (mt)]]-SUMIF(serim[Makara Numarası],makaralar[[#This Row],[MAKARA NO]],serim[Serim(m)])</f>
        <v>0</v>
      </c>
    </row>
    <row r="54" spans="1:5" x14ac:dyDescent="0.3">
      <c r="A54" s="1" t="s">
        <v>110</v>
      </c>
      <c r="B54" s="1">
        <v>288</v>
      </c>
      <c r="C54" s="1" t="s">
        <v>93</v>
      </c>
      <c r="D54" s="3">
        <v>1905</v>
      </c>
      <c r="E54" s="3">
        <f>makaralar[[#This Row],[UZUNLUK (mt)]]-SUMIF(serim[Makara Numarası],makaralar[[#This Row],[MAKARA NO]],serim[Serim(m)])</f>
        <v>300</v>
      </c>
    </row>
    <row r="55" spans="1:5" x14ac:dyDescent="0.3">
      <c r="A55" s="1" t="s">
        <v>111</v>
      </c>
      <c r="B55" s="1">
        <v>288</v>
      </c>
      <c r="C55" s="1" t="s">
        <v>94</v>
      </c>
      <c r="D55" s="3">
        <v>2014</v>
      </c>
      <c r="E55" s="3">
        <f>makaralar[[#This Row],[UZUNLUK (mt)]]-SUMIF(serim[Makara Numarası],makaralar[[#This Row],[MAKARA NO]],serim[Serim(m)])</f>
        <v>2014</v>
      </c>
    </row>
    <row r="56" spans="1:5" x14ac:dyDescent="0.3">
      <c r="A56" s="1" t="s">
        <v>111</v>
      </c>
      <c r="B56" s="1">
        <v>288</v>
      </c>
      <c r="C56" s="1" t="s">
        <v>95</v>
      </c>
      <c r="D56" s="3">
        <v>2016</v>
      </c>
      <c r="E56" s="3">
        <f>makaralar[[#This Row],[UZUNLUK (mt)]]-SUMIF(serim[Makara Numarası],makaralar[[#This Row],[MAKARA NO]],serim[Serim(m)])</f>
        <v>2016</v>
      </c>
    </row>
    <row r="57" spans="1:5" x14ac:dyDescent="0.3">
      <c r="A57" s="1" t="s">
        <v>111</v>
      </c>
      <c r="B57" s="1">
        <v>288</v>
      </c>
      <c r="C57" s="1" t="s">
        <v>96</v>
      </c>
      <c r="D57" s="3">
        <v>2010</v>
      </c>
      <c r="E57" s="3">
        <f>makaralar[[#This Row],[UZUNLUK (mt)]]-SUMIF(serim[Makara Numarası],makaralar[[#This Row],[MAKARA NO]],serim[Serim(m)])</f>
        <v>2010</v>
      </c>
    </row>
    <row r="58" spans="1:5" x14ac:dyDescent="0.3">
      <c r="A58" s="1" t="s">
        <v>111</v>
      </c>
      <c r="B58" s="1">
        <v>288</v>
      </c>
      <c r="C58" s="1" t="s">
        <v>97</v>
      </c>
      <c r="D58" s="3">
        <v>2027</v>
      </c>
      <c r="E58" s="3">
        <f>makaralar[[#This Row],[UZUNLUK (mt)]]-SUMIF(serim[Makara Numarası],makaralar[[#This Row],[MAKARA NO]],serim[Serim(m)])</f>
        <v>2027</v>
      </c>
    </row>
    <row r="59" spans="1:5" x14ac:dyDescent="0.3">
      <c r="A59" s="1" t="s">
        <v>111</v>
      </c>
      <c r="B59" s="1">
        <v>288</v>
      </c>
      <c r="C59" s="1" t="s">
        <v>98</v>
      </c>
      <c r="D59" s="3">
        <v>2013</v>
      </c>
      <c r="E59" s="3">
        <f>makaralar[[#This Row],[UZUNLUK (mt)]]-SUMIF(serim[Makara Numarası],makaralar[[#This Row],[MAKARA NO]],serim[Serim(m)])</f>
        <v>220</v>
      </c>
    </row>
    <row r="60" spans="1:5" x14ac:dyDescent="0.3">
      <c r="A60" s="1" t="s">
        <v>111</v>
      </c>
      <c r="B60" s="1">
        <v>288</v>
      </c>
      <c r="C60" s="1" t="s">
        <v>99</v>
      </c>
      <c r="D60" s="3">
        <v>2003</v>
      </c>
      <c r="E60" s="3">
        <f>makaralar[[#This Row],[UZUNLUK (mt)]]-SUMIF(serim[Makara Numarası],makaralar[[#This Row],[MAKARA NO]],serim[Serim(m)])</f>
        <v>2003</v>
      </c>
    </row>
    <row r="61" spans="1:5" x14ac:dyDescent="0.3">
      <c r="A61" s="1" t="s">
        <v>111</v>
      </c>
      <c r="B61" s="1">
        <v>288</v>
      </c>
      <c r="C61" s="1" t="s">
        <v>100</v>
      </c>
      <c r="D61" s="3">
        <v>2013</v>
      </c>
      <c r="E61" s="3">
        <f>makaralar[[#This Row],[UZUNLUK (mt)]]-SUMIF(serim[Makara Numarası],makaralar[[#This Row],[MAKARA NO]],serim[Serim(m)])</f>
        <v>0</v>
      </c>
    </row>
    <row r="62" spans="1:5" x14ac:dyDescent="0.3">
      <c r="A62" s="1" t="s">
        <v>111</v>
      </c>
      <c r="B62" s="1">
        <v>288</v>
      </c>
      <c r="C62" s="1" t="s">
        <v>101</v>
      </c>
      <c r="D62" s="3">
        <v>1990</v>
      </c>
      <c r="E62" s="3">
        <f>makaralar[[#This Row],[UZUNLUK (mt)]]-SUMIF(serim[Makara Numarası],makaralar[[#This Row],[MAKARA NO]],serim[Serim(m)])</f>
        <v>499</v>
      </c>
    </row>
    <row r="63" spans="1:5" x14ac:dyDescent="0.3">
      <c r="A63" s="1" t="s">
        <v>111</v>
      </c>
      <c r="B63" s="1">
        <v>288</v>
      </c>
      <c r="C63" s="1" t="s">
        <v>102</v>
      </c>
      <c r="D63" s="3">
        <v>2004</v>
      </c>
      <c r="E63" s="3">
        <f>makaralar[[#This Row],[UZUNLUK (mt)]]-SUMIF(serim[Makara Numarası],makaralar[[#This Row],[MAKARA NO]],serim[Serim(m)])</f>
        <v>2004</v>
      </c>
    </row>
    <row r="64" spans="1:5" x14ac:dyDescent="0.3">
      <c r="A64" s="1" t="s">
        <v>111</v>
      </c>
      <c r="B64" s="1">
        <v>288</v>
      </c>
      <c r="C64" s="1" t="s">
        <v>103</v>
      </c>
      <c r="D64" s="3">
        <v>1990</v>
      </c>
      <c r="E64" s="3">
        <f>makaralar[[#This Row],[UZUNLUK (mt)]]-SUMIF(serim[Makara Numarası],makaralar[[#This Row],[MAKARA NO]],serim[Serim(m)])</f>
        <v>190</v>
      </c>
    </row>
    <row r="65" spans="1:5" x14ac:dyDescent="0.3">
      <c r="A65" s="1" t="s">
        <v>111</v>
      </c>
      <c r="B65" s="1">
        <v>288</v>
      </c>
      <c r="C65" s="1" t="s">
        <v>104</v>
      </c>
      <c r="D65" s="3">
        <v>2004</v>
      </c>
      <c r="E65" s="3">
        <f>makaralar[[#This Row],[UZUNLUK (mt)]]-SUMIF(serim[Makara Numarası],makaralar[[#This Row],[MAKARA NO]],serim[Serim(m)])</f>
        <v>0</v>
      </c>
    </row>
    <row r="66" spans="1:5" x14ac:dyDescent="0.3">
      <c r="A66" s="1" t="s">
        <v>111</v>
      </c>
      <c r="B66" s="1">
        <v>288</v>
      </c>
      <c r="C66" s="1" t="s">
        <v>105</v>
      </c>
      <c r="D66" s="3">
        <v>1980</v>
      </c>
      <c r="E66" s="3">
        <f>makaralar[[#This Row],[UZUNLUK (mt)]]-SUMIF(serim[Makara Numarası],makaralar[[#This Row],[MAKARA NO]],serim[Serim(m)])</f>
        <v>1060</v>
      </c>
    </row>
    <row r="67" spans="1:5" x14ac:dyDescent="0.3">
      <c r="A67" s="1" t="s">
        <v>111</v>
      </c>
      <c r="B67" s="1">
        <v>288</v>
      </c>
      <c r="C67" s="1" t="s">
        <v>106</v>
      </c>
      <c r="D67" s="3">
        <v>2054</v>
      </c>
      <c r="E67" s="3">
        <f>makaralar[[#This Row],[UZUNLUK (mt)]]-SUMIF(serim[Makara Numarası],makaralar[[#This Row],[MAKARA NO]],serim[Serim(m)])</f>
        <v>0</v>
      </c>
    </row>
    <row r="68" spans="1:5" x14ac:dyDescent="0.3">
      <c r="A68" s="1" t="s">
        <v>111</v>
      </c>
      <c r="B68" s="1">
        <v>288</v>
      </c>
      <c r="C68" s="1" t="s">
        <v>107</v>
      </c>
      <c r="D68" s="3">
        <v>2055</v>
      </c>
      <c r="E68" s="3">
        <f>makaralar[[#This Row],[UZUNLUK (mt)]]-SUMIF(serim[Makara Numarası],makaralar[[#This Row],[MAKARA NO]],serim[Serim(m)])</f>
        <v>2055</v>
      </c>
    </row>
    <row r="69" spans="1:5" x14ac:dyDescent="0.3">
      <c r="A69" s="1" t="s">
        <v>111</v>
      </c>
      <c r="B69" s="1">
        <v>288</v>
      </c>
      <c r="C69" s="1" t="s">
        <v>108</v>
      </c>
      <c r="D69" s="3">
        <v>2153</v>
      </c>
      <c r="E69" s="3">
        <f>makaralar[[#This Row],[UZUNLUK (mt)]]-SUMIF(serim[Makara Numarası],makaralar[[#This Row],[MAKARA NO]],serim[Serim(m)])</f>
        <v>2153</v>
      </c>
    </row>
    <row r="70" spans="1:5" x14ac:dyDescent="0.3">
      <c r="A70" s="1" t="s">
        <v>111</v>
      </c>
      <c r="B70" s="1">
        <v>288</v>
      </c>
      <c r="C70" s="1" t="s">
        <v>109</v>
      </c>
      <c r="D70" s="3">
        <v>1939</v>
      </c>
      <c r="E70" s="3">
        <f>makaralar[[#This Row],[UZUNLUK (mt)]]-SUMIF(serim[Makara Numarası],makaralar[[#This Row],[MAKARA NO]],serim[Serim(m)])</f>
        <v>0</v>
      </c>
    </row>
    <row r="71" spans="1:5" x14ac:dyDescent="0.3">
      <c r="A71" s="1" t="s">
        <v>111</v>
      </c>
      <c r="B71" s="1">
        <v>24</v>
      </c>
      <c r="C71" s="1" t="s">
        <v>2</v>
      </c>
      <c r="D71" s="3">
        <v>4077</v>
      </c>
      <c r="E71" s="3">
        <f>makaralar[[#This Row],[UZUNLUK (mt)]]-SUMIF(serim[Makara Numarası],makaralar[[#This Row],[MAKARA NO]],serim[Serim(m)])</f>
        <v>4077</v>
      </c>
    </row>
    <row r="72" spans="1:5" x14ac:dyDescent="0.3">
      <c r="A72" s="1" t="s">
        <v>111</v>
      </c>
      <c r="B72" s="1">
        <v>24</v>
      </c>
      <c r="C72" s="1" t="s">
        <v>3</v>
      </c>
      <c r="D72" s="3">
        <v>4094</v>
      </c>
      <c r="E72" s="3">
        <f>makaralar[[#This Row],[UZUNLUK (mt)]]-SUMIF(serim[Makara Numarası],makaralar[[#This Row],[MAKARA NO]],serim[Serim(m)])</f>
        <v>4094</v>
      </c>
    </row>
    <row r="73" spans="1:5" x14ac:dyDescent="0.3">
      <c r="A73" s="1" t="s">
        <v>111</v>
      </c>
      <c r="B73" s="1">
        <v>24</v>
      </c>
      <c r="C73" s="1" t="s">
        <v>4</v>
      </c>
      <c r="D73" s="3">
        <v>3975</v>
      </c>
      <c r="E73" s="3">
        <f>makaralar[[#This Row],[UZUNLUK (mt)]]-SUMIF(serim[Makara Numarası],makaralar[[#This Row],[MAKARA NO]],serim[Serim(m)])</f>
        <v>3975</v>
      </c>
    </row>
    <row r="74" spans="1:5" x14ac:dyDescent="0.3">
      <c r="A74" s="1" t="s">
        <v>111</v>
      </c>
      <c r="B74" s="1">
        <v>24</v>
      </c>
      <c r="C74" s="1" t="s">
        <v>5</v>
      </c>
      <c r="D74" s="3">
        <v>4080</v>
      </c>
      <c r="E74" s="3">
        <f>makaralar[[#This Row],[UZUNLUK (mt)]]-SUMIF(serim[Makara Numarası],makaralar[[#This Row],[MAKARA NO]],serim[Serim(m)])</f>
        <v>4080</v>
      </c>
    </row>
    <row r="75" spans="1:5" x14ac:dyDescent="0.3">
      <c r="A75" s="1" t="s">
        <v>111</v>
      </c>
      <c r="B75" s="1">
        <v>24</v>
      </c>
      <c r="C75" s="1" t="s">
        <v>6</v>
      </c>
      <c r="D75" s="3">
        <v>4046</v>
      </c>
      <c r="E75" s="3">
        <f>makaralar[[#This Row],[UZUNLUK (mt)]]-SUMIF(serim[Makara Numarası],makaralar[[#This Row],[MAKARA NO]],serim[Serim(m)])</f>
        <v>4046</v>
      </c>
    </row>
    <row r="76" spans="1:5" x14ac:dyDescent="0.3">
      <c r="A76" s="1" t="s">
        <v>111</v>
      </c>
      <c r="B76" s="1">
        <v>24</v>
      </c>
      <c r="C76" s="1" t="s">
        <v>7</v>
      </c>
      <c r="D76" s="3">
        <v>4085</v>
      </c>
      <c r="E76" s="3">
        <f>makaralar[[#This Row],[UZUNLUK (mt)]]-SUMIF(serim[Makara Numarası],makaralar[[#This Row],[MAKARA NO]],serim[Serim(m)])</f>
        <v>4085</v>
      </c>
    </row>
    <row r="77" spans="1:5" x14ac:dyDescent="0.3">
      <c r="A77" s="1" t="s">
        <v>111</v>
      </c>
      <c r="B77" s="1">
        <v>24</v>
      </c>
      <c r="C77" s="1" t="s">
        <v>8</v>
      </c>
      <c r="D77" s="3">
        <v>4062</v>
      </c>
      <c r="E77" s="3">
        <f>makaralar[[#This Row],[UZUNLUK (mt)]]-SUMIF(serim[Makara Numarası],makaralar[[#This Row],[MAKARA NO]],serim[Serim(m)])</f>
        <v>4062</v>
      </c>
    </row>
    <row r="78" spans="1:5" x14ac:dyDescent="0.3">
      <c r="A78" s="1" t="s">
        <v>111</v>
      </c>
      <c r="B78" s="1">
        <v>24</v>
      </c>
      <c r="C78" s="1" t="s">
        <v>9</v>
      </c>
      <c r="D78" s="3">
        <v>4061</v>
      </c>
      <c r="E78" s="3">
        <f>makaralar[[#This Row],[UZUNLUK (mt)]]-SUMIF(serim[Makara Numarası],makaralar[[#This Row],[MAKARA NO]],serim[Serim(m)])</f>
        <v>4061</v>
      </c>
    </row>
    <row r="79" spans="1:5" x14ac:dyDescent="0.3">
      <c r="A79" s="1" t="s">
        <v>111</v>
      </c>
      <c r="B79" s="1">
        <v>288</v>
      </c>
      <c r="C79" s="1" t="s">
        <v>10</v>
      </c>
      <c r="D79" s="3">
        <v>2009</v>
      </c>
      <c r="E79" s="3">
        <f>makaralar[[#This Row],[UZUNLUK (mt)]]-SUMIF(serim[Makara Numarası],makaralar[[#This Row],[MAKARA NO]],serim[Serim(m)])</f>
        <v>2009</v>
      </c>
    </row>
    <row r="80" spans="1:5" x14ac:dyDescent="0.3">
      <c r="A80" s="1" t="s">
        <v>111</v>
      </c>
      <c r="B80" s="1">
        <v>288</v>
      </c>
      <c r="C80" s="1" t="s">
        <v>11</v>
      </c>
      <c r="D80" s="3">
        <v>2010</v>
      </c>
      <c r="E80" s="3">
        <f>makaralar[[#This Row],[UZUNLUK (mt)]]-SUMIF(serim[Makara Numarası],makaralar[[#This Row],[MAKARA NO]],serim[Serim(m)])</f>
        <v>2010</v>
      </c>
    </row>
    <row r="81" spans="1:5" x14ac:dyDescent="0.3">
      <c r="A81" s="1" t="s">
        <v>111</v>
      </c>
      <c r="B81" s="1">
        <v>288</v>
      </c>
      <c r="C81" s="1" t="s">
        <v>12</v>
      </c>
      <c r="D81" s="3">
        <v>2009</v>
      </c>
      <c r="E81" s="3">
        <f>makaralar[[#This Row],[UZUNLUK (mt)]]-SUMIF(serim[Makara Numarası],makaralar[[#This Row],[MAKARA NO]],serim[Serim(m)])</f>
        <v>2009</v>
      </c>
    </row>
    <row r="82" spans="1:5" x14ac:dyDescent="0.3">
      <c r="A82" s="1" t="s">
        <v>111</v>
      </c>
      <c r="B82" s="1">
        <v>288</v>
      </c>
      <c r="C82" s="1" t="s">
        <v>13</v>
      </c>
      <c r="D82" s="3">
        <v>2044</v>
      </c>
      <c r="E82" s="3">
        <f>makaralar[[#This Row],[UZUNLUK (mt)]]-SUMIF(serim[Makara Numarası],makaralar[[#This Row],[MAKARA NO]],serim[Serim(m)])</f>
        <v>2044</v>
      </c>
    </row>
    <row r="83" spans="1:5" x14ac:dyDescent="0.3">
      <c r="A83" s="1" t="s">
        <v>111</v>
      </c>
      <c r="B83" s="1">
        <v>288</v>
      </c>
      <c r="C83" s="1" t="s">
        <v>14</v>
      </c>
      <c r="D83" s="3">
        <v>2020</v>
      </c>
      <c r="E83" s="3">
        <f>makaralar[[#This Row],[UZUNLUK (mt)]]-SUMIF(serim[Makara Numarası],makaralar[[#This Row],[MAKARA NO]],serim[Serim(m)])</f>
        <v>2020</v>
      </c>
    </row>
    <row r="84" spans="1:5" x14ac:dyDescent="0.3">
      <c r="A84" s="1" t="s">
        <v>111</v>
      </c>
      <c r="B84" s="1">
        <v>288</v>
      </c>
      <c r="C84" s="1" t="s">
        <v>15</v>
      </c>
      <c r="D84" s="3">
        <v>2013</v>
      </c>
      <c r="E84" s="3">
        <f>makaralar[[#This Row],[UZUNLUK (mt)]]-SUMIF(serim[Makara Numarası],makaralar[[#This Row],[MAKARA NO]],serim[Serim(m)])</f>
        <v>2013</v>
      </c>
    </row>
    <row r="85" spans="1:5" x14ac:dyDescent="0.3">
      <c r="A85" s="1" t="s">
        <v>111</v>
      </c>
      <c r="B85" s="1">
        <v>288</v>
      </c>
      <c r="C85" s="1" t="s">
        <v>16</v>
      </c>
      <c r="D85" s="3">
        <v>2008</v>
      </c>
      <c r="E85" s="3">
        <f>makaralar[[#This Row],[UZUNLUK (mt)]]-SUMIF(serim[Makara Numarası],makaralar[[#This Row],[MAKARA NO]],serim[Serim(m)])</f>
        <v>2008</v>
      </c>
    </row>
    <row r="86" spans="1:5" x14ac:dyDescent="0.3">
      <c r="A86" s="1" t="s">
        <v>111</v>
      </c>
      <c r="B86" s="1">
        <v>288</v>
      </c>
      <c r="C86" s="1" t="s">
        <v>17</v>
      </c>
      <c r="D86" s="3">
        <v>2059</v>
      </c>
      <c r="E86" s="3">
        <f>makaralar[[#This Row],[UZUNLUK (mt)]]-SUMIF(serim[Makara Numarası],makaralar[[#This Row],[MAKARA NO]],serim[Serim(m)])</f>
        <v>2059</v>
      </c>
    </row>
    <row r="87" spans="1:5" x14ac:dyDescent="0.3">
      <c r="A87" s="1" t="s">
        <v>111</v>
      </c>
      <c r="B87" s="1">
        <v>288</v>
      </c>
      <c r="C87" s="1" t="s">
        <v>18</v>
      </c>
      <c r="D87" s="3">
        <v>2022</v>
      </c>
      <c r="E87" s="3">
        <f>makaralar[[#This Row],[UZUNLUK (mt)]]-SUMIF(serim[Makara Numarası],makaralar[[#This Row],[MAKARA NO]],serim[Serim(m)])</f>
        <v>2022</v>
      </c>
    </row>
    <row r="88" spans="1:5" x14ac:dyDescent="0.3">
      <c r="A88" s="1" t="s">
        <v>111</v>
      </c>
      <c r="B88" s="1">
        <v>288</v>
      </c>
      <c r="C88" s="1" t="s">
        <v>19</v>
      </c>
      <c r="D88" s="3">
        <v>2025</v>
      </c>
      <c r="E88" s="3">
        <f>makaralar[[#This Row],[UZUNLUK (mt)]]-SUMIF(serim[Makara Numarası],makaralar[[#This Row],[MAKARA NO]],serim[Serim(m)])</f>
        <v>2025</v>
      </c>
    </row>
    <row r="89" spans="1:5" x14ac:dyDescent="0.3">
      <c r="A89" s="1" t="s">
        <v>111</v>
      </c>
      <c r="B89" s="1">
        <v>288</v>
      </c>
      <c r="C89" s="1" t="s">
        <v>20</v>
      </c>
      <c r="D89" s="3">
        <v>2024</v>
      </c>
      <c r="E89" s="3">
        <f>makaralar[[#This Row],[UZUNLUK (mt)]]-SUMIF(serim[Makara Numarası],makaralar[[#This Row],[MAKARA NO]],serim[Serim(m)])</f>
        <v>2024</v>
      </c>
    </row>
    <row r="90" spans="1:5" x14ac:dyDescent="0.3">
      <c r="A90" s="1" t="s">
        <v>111</v>
      </c>
      <c r="B90" s="1">
        <v>288</v>
      </c>
      <c r="C90" s="1" t="s">
        <v>21</v>
      </c>
      <c r="D90" s="3">
        <v>1991</v>
      </c>
      <c r="E90" s="3">
        <f>makaralar[[#This Row],[UZUNLUK (mt)]]-SUMIF(serim[Makara Numarası],makaralar[[#This Row],[MAKARA NO]],serim[Serim(m)])</f>
        <v>1991</v>
      </c>
    </row>
    <row r="91" spans="1:5" x14ac:dyDescent="0.3">
      <c r="A91" s="1" t="s">
        <v>111</v>
      </c>
      <c r="B91" s="1">
        <v>288</v>
      </c>
      <c r="C91" s="1" t="s">
        <v>22</v>
      </c>
      <c r="D91" s="3">
        <v>2032</v>
      </c>
      <c r="E91" s="3">
        <f>makaralar[[#This Row],[UZUNLUK (mt)]]-SUMIF(serim[Makara Numarası],makaralar[[#This Row],[MAKARA NO]],serim[Serim(m)])</f>
        <v>2032</v>
      </c>
    </row>
    <row r="92" spans="1:5" x14ac:dyDescent="0.3">
      <c r="A92" s="1" t="s">
        <v>111</v>
      </c>
      <c r="B92" s="1">
        <v>288</v>
      </c>
      <c r="C92" s="1" t="s">
        <v>23</v>
      </c>
      <c r="D92" s="3">
        <v>2025</v>
      </c>
      <c r="E92" s="3">
        <f>makaralar[[#This Row],[UZUNLUK (mt)]]-SUMIF(serim[Makara Numarası],makaralar[[#This Row],[MAKARA NO]],serim[Serim(m)])</f>
        <v>2025</v>
      </c>
    </row>
    <row r="93" spans="1:5" x14ac:dyDescent="0.3">
      <c r="A93" s="1" t="s">
        <v>111</v>
      </c>
      <c r="B93" s="1">
        <v>288</v>
      </c>
      <c r="C93" s="1" t="s">
        <v>24</v>
      </c>
      <c r="D93" s="3">
        <v>2024</v>
      </c>
      <c r="E93" s="3">
        <f>makaralar[[#This Row],[UZUNLUK (mt)]]-SUMIF(serim[Makara Numarası],makaralar[[#This Row],[MAKARA NO]],serim[Serim(m)])</f>
        <v>2024</v>
      </c>
    </row>
    <row r="94" spans="1:5" x14ac:dyDescent="0.3">
      <c r="A94" s="1" t="s">
        <v>111</v>
      </c>
      <c r="B94" s="1">
        <v>288</v>
      </c>
      <c r="C94" s="1" t="s">
        <v>25</v>
      </c>
      <c r="D94" s="3">
        <v>2058</v>
      </c>
      <c r="E94" s="3">
        <f>makaralar[[#This Row],[UZUNLUK (mt)]]-SUMIF(serim[Makara Numarası],makaralar[[#This Row],[MAKARA NO]],serim[Serim(m)])</f>
        <v>2058</v>
      </c>
    </row>
    <row r="95" spans="1:5" x14ac:dyDescent="0.3">
      <c r="A95" s="1" t="s">
        <v>110</v>
      </c>
      <c r="B95" s="1">
        <v>24</v>
      </c>
      <c r="C95" s="1" t="s">
        <v>26</v>
      </c>
      <c r="D95" s="3">
        <v>4088</v>
      </c>
      <c r="E95" s="3">
        <f>makaralar[[#This Row],[UZUNLUK (mt)]]-SUMIF(serim[Makara Numarası],makaralar[[#This Row],[MAKARA NO]],serim[Serim(m)])</f>
        <v>4088</v>
      </c>
    </row>
    <row r="96" spans="1:5" x14ac:dyDescent="0.3">
      <c r="A96" s="1" t="s">
        <v>110</v>
      </c>
      <c r="B96" s="1">
        <v>24</v>
      </c>
      <c r="C96" s="1" t="s">
        <v>27</v>
      </c>
      <c r="D96" s="3">
        <v>4090</v>
      </c>
      <c r="E96" s="3">
        <f>makaralar[[#This Row],[UZUNLUK (mt)]]-SUMIF(serim[Makara Numarası],makaralar[[#This Row],[MAKARA NO]],serim[Serim(m)])</f>
        <v>4090</v>
      </c>
    </row>
    <row r="97" spans="1:5" x14ac:dyDescent="0.3">
      <c r="A97" s="1" t="s">
        <v>110</v>
      </c>
      <c r="B97" s="1">
        <v>24</v>
      </c>
      <c r="C97" s="1" t="s">
        <v>28</v>
      </c>
      <c r="D97" s="3">
        <v>4059</v>
      </c>
      <c r="E97" s="3">
        <f>makaralar[[#This Row],[UZUNLUK (mt)]]-SUMIF(serim[Makara Numarası],makaralar[[#This Row],[MAKARA NO]],serim[Serim(m)])</f>
        <v>4059</v>
      </c>
    </row>
    <row r="98" spans="1:5" x14ac:dyDescent="0.3">
      <c r="A98" s="1" t="s">
        <v>110</v>
      </c>
      <c r="B98" s="1">
        <v>24</v>
      </c>
      <c r="C98" s="1" t="s">
        <v>29</v>
      </c>
      <c r="D98" s="3">
        <v>4129</v>
      </c>
      <c r="E98" s="3">
        <f>makaralar[[#This Row],[UZUNLUK (mt)]]-SUMIF(serim[Makara Numarası],makaralar[[#This Row],[MAKARA NO]],serim[Serim(m)])</f>
        <v>4129</v>
      </c>
    </row>
    <row r="99" spans="1:5" x14ac:dyDescent="0.3">
      <c r="A99" s="1" t="s">
        <v>110</v>
      </c>
      <c r="B99" s="1">
        <v>24</v>
      </c>
      <c r="C99" s="1" t="s">
        <v>30</v>
      </c>
      <c r="D99" s="3">
        <v>4156</v>
      </c>
      <c r="E99" s="3">
        <f>makaralar[[#This Row],[UZUNLUK (mt)]]-SUMIF(serim[Makara Numarası],makaralar[[#This Row],[MAKARA NO]],serim[Serim(m)])</f>
        <v>4156</v>
      </c>
    </row>
    <row r="100" spans="1:5" x14ac:dyDescent="0.3">
      <c r="A100" s="1" t="s">
        <v>110</v>
      </c>
      <c r="B100" s="1">
        <v>288</v>
      </c>
      <c r="C100" s="1" t="s">
        <v>31</v>
      </c>
      <c r="D100" s="3">
        <v>2029</v>
      </c>
      <c r="E100" s="3">
        <f>makaralar[[#This Row],[UZUNLUK (mt)]]-SUMIF(serim[Makara Numarası],makaralar[[#This Row],[MAKARA NO]],serim[Serim(m)])</f>
        <v>2029</v>
      </c>
    </row>
    <row r="101" spans="1:5" x14ac:dyDescent="0.3">
      <c r="A101" s="1" t="s">
        <v>110</v>
      </c>
      <c r="B101" s="1">
        <v>288</v>
      </c>
      <c r="C101" s="1" t="s">
        <v>32</v>
      </c>
      <c r="D101" s="3">
        <v>2030</v>
      </c>
      <c r="E101" s="3">
        <f>makaralar[[#This Row],[UZUNLUK (mt)]]-SUMIF(serim[Makara Numarası],makaralar[[#This Row],[MAKARA NO]],serim[Serim(m)])</f>
        <v>2030</v>
      </c>
    </row>
    <row r="102" spans="1:5" x14ac:dyDescent="0.3">
      <c r="A102" s="1" t="s">
        <v>110</v>
      </c>
      <c r="B102" s="1">
        <v>288</v>
      </c>
      <c r="C102" s="1" t="s">
        <v>33</v>
      </c>
      <c r="D102" s="3">
        <v>2028</v>
      </c>
      <c r="E102" s="3">
        <f>makaralar[[#This Row],[UZUNLUK (mt)]]-SUMIF(serim[Makara Numarası],makaralar[[#This Row],[MAKARA NO]],serim[Serim(m)])</f>
        <v>2028</v>
      </c>
    </row>
    <row r="103" spans="1:5" x14ac:dyDescent="0.3">
      <c r="A103" s="1" t="s">
        <v>110</v>
      </c>
      <c r="B103" s="1">
        <v>288</v>
      </c>
      <c r="C103" s="1" t="s">
        <v>34</v>
      </c>
      <c r="D103" s="3">
        <v>2050</v>
      </c>
      <c r="E103" s="3">
        <f>makaralar[[#This Row],[UZUNLUK (mt)]]-SUMIF(serim[Makara Numarası],makaralar[[#This Row],[MAKARA NO]],serim[Serim(m)])</f>
        <v>2050</v>
      </c>
    </row>
    <row r="104" spans="1:5" x14ac:dyDescent="0.3">
      <c r="A104" s="1" t="s">
        <v>110</v>
      </c>
      <c r="B104" s="1">
        <v>288</v>
      </c>
      <c r="C104" s="1" t="s">
        <v>35</v>
      </c>
      <c r="D104" s="3">
        <v>2025</v>
      </c>
      <c r="E104" s="3">
        <f>makaralar[[#This Row],[UZUNLUK (mt)]]-SUMIF(serim[Makara Numarası],makaralar[[#This Row],[MAKARA NO]],serim[Serim(m)])</f>
        <v>2025</v>
      </c>
    </row>
    <row r="105" spans="1:5" x14ac:dyDescent="0.3">
      <c r="A105" s="1" t="s">
        <v>110</v>
      </c>
      <c r="B105" s="1">
        <v>288</v>
      </c>
      <c r="C105" s="1" t="s">
        <v>36</v>
      </c>
      <c r="D105" s="3">
        <v>2024</v>
      </c>
      <c r="E105" s="3">
        <f>makaralar[[#This Row],[UZUNLUK (mt)]]-SUMIF(serim[Makara Numarası],makaralar[[#This Row],[MAKARA NO]],serim[Serim(m)])</f>
        <v>2024</v>
      </c>
    </row>
    <row r="106" spans="1:5" x14ac:dyDescent="0.3">
      <c r="A106" s="1" t="s">
        <v>110</v>
      </c>
      <c r="B106" s="1">
        <v>288</v>
      </c>
      <c r="C106" s="1" t="s">
        <v>37</v>
      </c>
      <c r="D106" s="3">
        <v>2067</v>
      </c>
      <c r="E106" s="3">
        <f>makaralar[[#This Row],[UZUNLUK (mt)]]-SUMIF(serim[Makara Numarası],makaralar[[#This Row],[MAKARA NO]],serim[Serim(m)])</f>
        <v>2067</v>
      </c>
    </row>
    <row r="107" spans="1:5" x14ac:dyDescent="0.3">
      <c r="A107" s="1" t="s">
        <v>110</v>
      </c>
      <c r="B107" s="1">
        <v>288</v>
      </c>
      <c r="C107" s="1" t="s">
        <v>38</v>
      </c>
      <c r="D107" s="3">
        <v>2016</v>
      </c>
      <c r="E107" s="3">
        <f>makaralar[[#This Row],[UZUNLUK (mt)]]-SUMIF(serim[Makara Numarası],makaralar[[#This Row],[MAKARA NO]],serim[Serim(m)])</f>
        <v>2016</v>
      </c>
    </row>
    <row r="108" spans="1:5" x14ac:dyDescent="0.3">
      <c r="A108" s="1" t="s">
        <v>110</v>
      </c>
      <c r="B108" s="1">
        <v>288</v>
      </c>
      <c r="C108" s="1" t="s">
        <v>39</v>
      </c>
      <c r="D108" s="3">
        <v>2124</v>
      </c>
      <c r="E108" s="3">
        <f>makaralar[[#This Row],[UZUNLUK (mt)]]-SUMIF(serim[Makara Numarası],makaralar[[#This Row],[MAKARA NO]],serim[Serim(m)])</f>
        <v>2124</v>
      </c>
    </row>
  </sheetData>
  <conditionalFormatting sqref="E1:E1048576">
    <cfRule type="cellIs" dxfId="3" priority="1" operator="between">
      <formula>-1</formula>
      <formula>-100000</formula>
    </cfRule>
  </conditionalFormatting>
  <conditionalFormatting sqref="G1">
    <cfRule type="containsText" dxfId="2" priority="2" operator="containsText" text="HATA YOK">
      <formula>NOT(ISERROR(SEARCH("HATA YOK",G1)))</formula>
    </cfRule>
    <cfRule type="containsText" dxfId="1" priority="4" operator="containsText" text="HATA VAR">
      <formula>NOT(ISERROR(SEARCH("HATA VAR",G1)))</formula>
    </cfRule>
  </conditionalFormatting>
  <pageMargins left="0.7" right="0.7" top="0.75" bottom="0.75" header="0.3" footer="0.3"/>
  <headerFooter>
    <oddHeader>&amp;L&amp;"Aptos"&amp;10&amp;KFF0000 Çok Gizli (Top Secret)&amp;1#_x000D_</oddHeader>
    <oddFooter>&amp;L_x000D_&amp;1#&amp;"Aptos"&amp;10&amp;KFF0000 Çok Gizli (Top Secret)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60B28-2C23-41DA-A502-3F6E3AA18AEC}">
  <dimension ref="A1:U111"/>
  <sheetViews>
    <sheetView workbookViewId="0">
      <selection activeCell="G121" sqref="G121"/>
    </sheetView>
  </sheetViews>
  <sheetFormatPr defaultRowHeight="10.199999999999999" x14ac:dyDescent="0.3"/>
  <cols>
    <col min="1" max="1" width="8.6640625" style="29" bestFit="1" customWidth="1"/>
    <col min="2" max="2" width="8.21875" style="11" bestFit="1" customWidth="1"/>
    <col min="3" max="3" width="15.44140625" style="11" bestFit="1" customWidth="1"/>
    <col min="4" max="4" width="14.77734375" style="11" bestFit="1" customWidth="1"/>
    <col min="5" max="5" width="13.6640625" style="11" bestFit="1" customWidth="1"/>
    <col min="6" max="6" width="12" style="11" bestFit="1" customWidth="1"/>
    <col min="7" max="8" width="17.33203125" style="11" bestFit="1" customWidth="1"/>
    <col min="9" max="9" width="17" style="11" bestFit="1" customWidth="1"/>
    <col min="10" max="10" width="13.6640625" style="11" bestFit="1" customWidth="1"/>
    <col min="11" max="11" width="17.5546875" style="11" bestFit="1" customWidth="1"/>
    <col min="12" max="13" width="14.109375" style="11" bestFit="1" customWidth="1"/>
    <col min="14" max="14" width="10.77734375" style="11" bestFit="1" customWidth="1"/>
    <col min="15" max="15" width="13.44140625" style="11" bestFit="1" customWidth="1"/>
    <col min="16" max="16" width="9.33203125" style="11" bestFit="1" customWidth="1"/>
    <col min="17" max="17" width="20.5546875" style="11" bestFit="1" customWidth="1"/>
    <col min="18" max="18" width="11.6640625" style="12" bestFit="1" customWidth="1"/>
    <col min="19" max="19" width="14.44140625" style="11" bestFit="1" customWidth="1"/>
    <col min="20" max="20" width="13" style="11" bestFit="1" customWidth="1"/>
    <col min="21" max="21" width="12.5546875" style="11" bestFit="1" customWidth="1"/>
    <col min="22" max="16384" width="8.88671875" style="11"/>
  </cols>
  <sheetData>
    <row r="1" spans="1:21" ht="12" x14ac:dyDescent="0.3">
      <c r="A1" s="32" t="s">
        <v>136</v>
      </c>
      <c r="B1" s="10" t="s">
        <v>474</v>
      </c>
      <c r="C1" s="10" t="s">
        <v>137</v>
      </c>
      <c r="D1" s="10" t="s">
        <v>138</v>
      </c>
      <c r="E1" s="10" t="s">
        <v>139</v>
      </c>
      <c r="F1" s="10" t="s">
        <v>140</v>
      </c>
      <c r="G1" s="10" t="s">
        <v>141</v>
      </c>
      <c r="H1" s="10" t="s">
        <v>142</v>
      </c>
      <c r="I1" s="10" t="s">
        <v>143</v>
      </c>
      <c r="J1" s="10" t="s">
        <v>144</v>
      </c>
      <c r="K1" s="10" t="s">
        <v>145</v>
      </c>
      <c r="L1" s="10" t="s">
        <v>146</v>
      </c>
      <c r="M1" s="10" t="s">
        <v>147</v>
      </c>
      <c r="N1" s="10" t="s">
        <v>148</v>
      </c>
      <c r="O1" s="10" t="s">
        <v>149</v>
      </c>
      <c r="P1" s="10" t="s">
        <v>150</v>
      </c>
      <c r="Q1" s="10" t="s">
        <v>151</v>
      </c>
      <c r="R1" s="30" t="s">
        <v>152</v>
      </c>
      <c r="S1" s="10" t="s">
        <v>477</v>
      </c>
      <c r="T1" s="10" t="s">
        <v>479</v>
      </c>
      <c r="U1" s="10" t="s">
        <v>478</v>
      </c>
    </row>
    <row r="2" spans="1:21" hidden="1" x14ac:dyDescent="0.3">
      <c r="A2" s="13">
        <v>45936</v>
      </c>
      <c r="B2" s="14" t="s">
        <v>467</v>
      </c>
      <c r="C2" s="15" t="s">
        <v>153</v>
      </c>
      <c r="D2" s="16" t="s">
        <v>211</v>
      </c>
      <c r="E2" s="16" t="s">
        <v>364</v>
      </c>
      <c r="F2" s="15" t="s">
        <v>403</v>
      </c>
      <c r="G2" s="16" t="s">
        <v>60</v>
      </c>
      <c r="H2" s="16">
        <v>2029</v>
      </c>
      <c r="I2" s="16">
        <v>2029</v>
      </c>
      <c r="J2" s="16">
        <v>0</v>
      </c>
      <c r="K2" s="16" t="s">
        <v>233</v>
      </c>
      <c r="L2" s="17" t="s">
        <v>154</v>
      </c>
      <c r="M2" s="16" t="s">
        <v>381</v>
      </c>
      <c r="N2" s="17" t="s">
        <v>155</v>
      </c>
      <c r="O2" s="18">
        <v>2</v>
      </c>
      <c r="P2" s="16" t="s">
        <v>362</v>
      </c>
      <c r="Q2" s="16">
        <v>0</v>
      </c>
      <c r="R2" s="19">
        <v>2029</v>
      </c>
      <c r="S2" s="20" t="str" cm="1">
        <f t="array" ref="S2">IF(SUMPRODUCT((makaralar[MAKARA NO]=serim[[#This Row],[Makara Numarası]])*(makaralar[KALAN (mt)]&lt;0))&gt;0,
    "HATA VAR",
    "")</f>
        <v/>
      </c>
      <c r="T2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2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3" spans="1:21" ht="20.399999999999999" x14ac:dyDescent="0.3">
      <c r="A3" s="13">
        <v>45939</v>
      </c>
      <c r="B3" s="14" t="s">
        <v>467</v>
      </c>
      <c r="C3" s="15" t="s">
        <v>188</v>
      </c>
      <c r="D3" s="16" t="s">
        <v>344</v>
      </c>
      <c r="E3" s="16" t="s">
        <v>370</v>
      </c>
      <c r="F3" s="15" t="s">
        <v>397</v>
      </c>
      <c r="G3" s="16" t="s">
        <v>48</v>
      </c>
      <c r="H3" s="16">
        <v>2500</v>
      </c>
      <c r="I3" s="16">
        <v>2500</v>
      </c>
      <c r="J3" s="16">
        <v>0</v>
      </c>
      <c r="K3" s="16" t="s">
        <v>160</v>
      </c>
      <c r="L3" s="17" t="s">
        <v>189</v>
      </c>
      <c r="M3" s="16" t="s">
        <v>387</v>
      </c>
      <c r="N3" s="17" t="s">
        <v>190</v>
      </c>
      <c r="O3" s="18">
        <v>2</v>
      </c>
      <c r="P3" s="16" t="s">
        <v>190</v>
      </c>
      <c r="Q3" s="16">
        <v>0</v>
      </c>
      <c r="R3" s="19">
        <v>2500</v>
      </c>
      <c r="S3" s="20" t="str" cm="1">
        <f t="array" ref="S3">IF(SUMPRODUCT((makaralar[MAKARA NO]=serim[[#This Row],[Makara Numarası]])*(makaralar[KALAN (mt)]&lt;0))&gt;0,
    "HATA VAR",
    "")</f>
        <v/>
      </c>
      <c r="T3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3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4" spans="1:21" hidden="1" x14ac:dyDescent="0.3">
      <c r="A4" s="13">
        <v>45937</v>
      </c>
      <c r="B4" s="14" t="s">
        <v>467</v>
      </c>
      <c r="C4" s="15" t="s">
        <v>156</v>
      </c>
      <c r="D4" s="16" t="s">
        <v>211</v>
      </c>
      <c r="E4" s="16" t="s">
        <v>364</v>
      </c>
      <c r="F4" s="15" t="s">
        <v>403</v>
      </c>
      <c r="G4" s="16" t="s">
        <v>56</v>
      </c>
      <c r="H4" s="16">
        <v>2019</v>
      </c>
      <c r="I4" s="16">
        <v>2019</v>
      </c>
      <c r="J4" s="16">
        <v>0</v>
      </c>
      <c r="K4" s="16" t="s">
        <v>233</v>
      </c>
      <c r="L4" s="17" t="s">
        <v>157</v>
      </c>
      <c r="M4" s="16" t="s">
        <v>362</v>
      </c>
      <c r="N4" s="17" t="s">
        <v>158</v>
      </c>
      <c r="O4" s="18">
        <v>2</v>
      </c>
      <c r="P4" s="16" t="s">
        <v>346</v>
      </c>
      <c r="Q4" s="16">
        <v>0</v>
      </c>
      <c r="R4" s="19">
        <v>2019</v>
      </c>
      <c r="S4" s="20" t="str" cm="1">
        <f t="array" ref="S4">IF(SUMPRODUCT((makaralar[MAKARA NO]=serim[[#This Row],[Makara Numarası]])*(makaralar[KALAN (mt)]&lt;0))&gt;0,
    "HATA VAR",
    "")</f>
        <v/>
      </c>
      <c r="T4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4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5" spans="1:21" hidden="1" x14ac:dyDescent="0.3">
      <c r="A5" s="13">
        <v>45943</v>
      </c>
      <c r="B5" s="14" t="s">
        <v>467</v>
      </c>
      <c r="C5" s="15" t="s">
        <v>206</v>
      </c>
      <c r="D5" s="16" t="s">
        <v>207</v>
      </c>
      <c r="E5" s="16" t="s">
        <v>391</v>
      </c>
      <c r="F5" s="15" t="s">
        <v>397</v>
      </c>
      <c r="G5" s="16" t="s">
        <v>47</v>
      </c>
      <c r="H5" s="16">
        <v>793</v>
      </c>
      <c r="I5" s="16">
        <v>793</v>
      </c>
      <c r="J5" s="16">
        <v>0</v>
      </c>
      <c r="K5" s="16" t="s">
        <v>208</v>
      </c>
      <c r="L5" s="16" t="s">
        <v>187</v>
      </c>
      <c r="M5" s="16" t="s">
        <v>209</v>
      </c>
      <c r="N5" s="17" t="s">
        <v>210</v>
      </c>
      <c r="O5" s="18">
        <v>1</v>
      </c>
      <c r="P5" s="16"/>
      <c r="Q5" s="16">
        <v>0</v>
      </c>
      <c r="R5" s="19">
        <v>793</v>
      </c>
      <c r="S5" s="20" t="str" cm="1">
        <f t="array" ref="S5">IF(SUMPRODUCT((makaralar[MAKARA NO]=serim[[#This Row],[Makara Numarası]])*(makaralar[KALAN (mt)]&lt;0))&gt;0,
    "HATA VAR",
    "")</f>
        <v/>
      </c>
      <c r="T5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5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6" spans="1:21" hidden="1" x14ac:dyDescent="0.3">
      <c r="A6" s="13">
        <v>45938</v>
      </c>
      <c r="B6" s="14" t="s">
        <v>467</v>
      </c>
      <c r="C6" s="15" t="s">
        <v>182</v>
      </c>
      <c r="D6" s="16" t="s">
        <v>342</v>
      </c>
      <c r="E6" s="16" t="s">
        <v>385</v>
      </c>
      <c r="F6" s="15" t="s">
        <v>403</v>
      </c>
      <c r="G6" s="16" t="s">
        <v>64</v>
      </c>
      <c r="H6" s="16">
        <v>2013</v>
      </c>
      <c r="I6" s="16">
        <v>2013</v>
      </c>
      <c r="J6" s="16">
        <v>0</v>
      </c>
      <c r="K6" s="16" t="s">
        <v>160</v>
      </c>
      <c r="L6" s="17" t="s">
        <v>177</v>
      </c>
      <c r="M6" s="16" t="s">
        <v>386</v>
      </c>
      <c r="N6" s="17" t="s">
        <v>183</v>
      </c>
      <c r="O6" s="18">
        <v>1</v>
      </c>
      <c r="P6" s="17" t="s">
        <v>184</v>
      </c>
      <c r="Q6" s="16">
        <v>0</v>
      </c>
      <c r="R6" s="19">
        <v>2013</v>
      </c>
      <c r="S6" s="20" t="str" cm="1">
        <f t="array" ref="S6">IF(SUMPRODUCT((makaralar[MAKARA NO]=serim[[#This Row],[Makara Numarası]])*(makaralar[KALAN (mt)]&lt;0))&gt;0,
    "HATA VAR",
    "")</f>
        <v/>
      </c>
      <c r="T6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6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7" spans="1:21" hidden="1" x14ac:dyDescent="0.3">
      <c r="A7" s="13">
        <v>45939</v>
      </c>
      <c r="B7" s="14" t="s">
        <v>467</v>
      </c>
      <c r="C7" s="15" t="s">
        <v>185</v>
      </c>
      <c r="D7" s="16" t="s">
        <v>343</v>
      </c>
      <c r="E7" s="16" t="s">
        <v>369</v>
      </c>
      <c r="F7" s="15" t="s">
        <v>397</v>
      </c>
      <c r="G7" s="16" t="s">
        <v>48</v>
      </c>
      <c r="H7" s="16">
        <v>3286</v>
      </c>
      <c r="I7" s="16">
        <v>3286</v>
      </c>
      <c r="J7" s="16">
        <v>2500</v>
      </c>
      <c r="K7" s="16" t="s">
        <v>180</v>
      </c>
      <c r="L7" s="17" t="s">
        <v>181</v>
      </c>
      <c r="M7" s="16" t="s">
        <v>186</v>
      </c>
      <c r="N7" s="17" t="s">
        <v>187</v>
      </c>
      <c r="O7" s="18">
        <v>1</v>
      </c>
      <c r="P7" s="17"/>
      <c r="Q7" s="16">
        <v>2500</v>
      </c>
      <c r="R7" s="19">
        <v>786</v>
      </c>
      <c r="S7" s="20" t="str" cm="1">
        <f t="array" ref="S7">IF(SUMPRODUCT((makaralar[MAKARA NO]=serim[[#This Row],[Makara Numarası]])*(makaralar[KALAN (mt)]&lt;0))&gt;0,
    "HATA VAR",
    "")</f>
        <v/>
      </c>
      <c r="T7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7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8" spans="1:21" hidden="1" x14ac:dyDescent="0.3">
      <c r="A8" s="13">
        <v>45939</v>
      </c>
      <c r="B8" s="14" t="s">
        <v>467</v>
      </c>
      <c r="C8" s="15" t="s">
        <v>178</v>
      </c>
      <c r="D8" s="16" t="s">
        <v>341</v>
      </c>
      <c r="E8" s="16" t="s">
        <v>384</v>
      </c>
      <c r="F8" s="15" t="s">
        <v>397</v>
      </c>
      <c r="G8" s="16" t="s">
        <v>48</v>
      </c>
      <c r="H8" s="16">
        <v>4080</v>
      </c>
      <c r="I8" s="16">
        <v>4080</v>
      </c>
      <c r="J8" s="16">
        <v>3286</v>
      </c>
      <c r="K8" s="16" t="s">
        <v>179</v>
      </c>
      <c r="L8" s="17" t="s">
        <v>175</v>
      </c>
      <c r="M8" s="16" t="s">
        <v>180</v>
      </c>
      <c r="N8" s="17" t="s">
        <v>181</v>
      </c>
      <c r="O8" s="18">
        <v>1</v>
      </c>
      <c r="P8" s="16"/>
      <c r="Q8" s="16">
        <v>3286</v>
      </c>
      <c r="R8" s="19">
        <v>794</v>
      </c>
      <c r="S8" s="20" t="str" cm="1">
        <f t="array" ref="S8">IF(SUMPRODUCT((makaralar[MAKARA NO]=serim[[#This Row],[Makara Numarası]])*(makaralar[KALAN (mt)]&lt;0))&gt;0,
    "HATA VAR",
    "")</f>
        <v/>
      </c>
      <c r="T8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8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9" spans="1:21" hidden="1" x14ac:dyDescent="0.3">
      <c r="A9" s="13">
        <v>45938</v>
      </c>
      <c r="B9" s="14" t="s">
        <v>467</v>
      </c>
      <c r="C9" s="15" t="s">
        <v>173</v>
      </c>
      <c r="D9" s="16" t="s">
        <v>340</v>
      </c>
      <c r="E9" s="16" t="s">
        <v>367</v>
      </c>
      <c r="F9" s="15" t="s">
        <v>397</v>
      </c>
      <c r="G9" s="16" t="s">
        <v>49</v>
      </c>
      <c r="H9" s="16">
        <v>1274</v>
      </c>
      <c r="I9" s="16">
        <v>1274</v>
      </c>
      <c r="J9" s="16">
        <v>0</v>
      </c>
      <c r="K9" s="16" t="s">
        <v>174</v>
      </c>
      <c r="L9" s="17" t="s">
        <v>172</v>
      </c>
      <c r="M9" s="16" t="s">
        <v>171</v>
      </c>
      <c r="N9" s="17" t="s">
        <v>175</v>
      </c>
      <c r="O9" s="18">
        <v>1</v>
      </c>
      <c r="P9" s="17"/>
      <c r="Q9" s="16">
        <v>0</v>
      </c>
      <c r="R9" s="19">
        <v>1274</v>
      </c>
      <c r="S9" s="20" t="str" cm="1">
        <f t="array" ref="S9">IF(SUMPRODUCT((makaralar[MAKARA NO]=serim[[#This Row],[Makara Numarası]])*(makaralar[KALAN (mt)]&lt;0))&gt;0,
    "HATA VAR",
    "")</f>
        <v/>
      </c>
      <c r="T9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9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10" spans="1:21" hidden="1" x14ac:dyDescent="0.3">
      <c r="A10" s="13">
        <v>45938</v>
      </c>
      <c r="B10" s="14" t="s">
        <v>467</v>
      </c>
      <c r="C10" s="15" t="s">
        <v>163</v>
      </c>
      <c r="D10" s="16" t="s">
        <v>211</v>
      </c>
      <c r="E10" s="16" t="s">
        <v>383</v>
      </c>
      <c r="F10" s="15" t="s">
        <v>403</v>
      </c>
      <c r="G10" s="16" t="s">
        <v>58</v>
      </c>
      <c r="H10" s="16">
        <v>2010</v>
      </c>
      <c r="I10" s="16">
        <v>2010</v>
      </c>
      <c r="J10" s="16">
        <v>0</v>
      </c>
      <c r="K10" s="16" t="s">
        <v>176</v>
      </c>
      <c r="L10" s="17" t="s">
        <v>164</v>
      </c>
      <c r="M10" s="16" t="s">
        <v>368</v>
      </c>
      <c r="N10" s="17" t="s">
        <v>177</v>
      </c>
      <c r="O10" s="18">
        <v>1</v>
      </c>
      <c r="P10" s="16" t="s">
        <v>177</v>
      </c>
      <c r="Q10" s="16">
        <v>0</v>
      </c>
      <c r="R10" s="19">
        <v>2010</v>
      </c>
      <c r="S10" s="20" t="str" cm="1">
        <f t="array" ref="S10">IF(SUMPRODUCT((makaralar[MAKARA NO]=serim[[#This Row],[Makara Numarası]])*(makaralar[KALAN (mt)]&lt;0))&gt;0,
    "HATA VAR",
    "")</f>
        <v/>
      </c>
      <c r="T10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10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11" spans="1:21" hidden="1" x14ac:dyDescent="0.3">
      <c r="A11" s="13">
        <v>45938</v>
      </c>
      <c r="B11" s="14" t="s">
        <v>467</v>
      </c>
      <c r="C11" s="15" t="s">
        <v>169</v>
      </c>
      <c r="D11" s="16" t="s">
        <v>339</v>
      </c>
      <c r="E11" s="16" t="s">
        <v>366</v>
      </c>
      <c r="F11" s="15" t="s">
        <v>397</v>
      </c>
      <c r="G11" s="16" t="s">
        <v>49</v>
      </c>
      <c r="H11" s="16">
        <v>2093</v>
      </c>
      <c r="I11" s="16">
        <v>2093</v>
      </c>
      <c r="J11" s="16">
        <v>1274</v>
      </c>
      <c r="K11" s="16" t="s">
        <v>170</v>
      </c>
      <c r="L11" s="17" t="s">
        <v>168</v>
      </c>
      <c r="M11" s="16" t="s">
        <v>171</v>
      </c>
      <c r="N11" s="17" t="s">
        <v>172</v>
      </c>
      <c r="O11" s="18">
        <v>1</v>
      </c>
      <c r="P11" s="17"/>
      <c r="Q11" s="16">
        <v>1274</v>
      </c>
      <c r="R11" s="19">
        <v>819</v>
      </c>
      <c r="S11" s="20" t="str" cm="1">
        <f t="array" ref="S11">IF(SUMPRODUCT((makaralar[MAKARA NO]=serim[[#This Row],[Makara Numarası]])*(makaralar[KALAN (mt)]&lt;0))&gt;0,
    "HATA VAR",
    "")</f>
        <v/>
      </c>
      <c r="T11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11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12" spans="1:21" hidden="1" x14ac:dyDescent="0.3">
      <c r="A12" s="13">
        <v>45939</v>
      </c>
      <c r="B12" s="14" t="s">
        <v>467</v>
      </c>
      <c r="C12" s="15" t="s">
        <v>163</v>
      </c>
      <c r="D12" s="16" t="s">
        <v>211</v>
      </c>
      <c r="E12" s="16" t="s">
        <v>382</v>
      </c>
      <c r="F12" s="15" t="s">
        <v>403</v>
      </c>
      <c r="G12" s="16" t="s">
        <v>57</v>
      </c>
      <c r="H12" s="16">
        <v>2010</v>
      </c>
      <c r="I12" s="16">
        <v>2019</v>
      </c>
      <c r="J12" s="16">
        <v>0</v>
      </c>
      <c r="K12" s="16" t="s">
        <v>160</v>
      </c>
      <c r="L12" s="17" t="s">
        <v>154</v>
      </c>
      <c r="M12" s="16" t="s">
        <v>365</v>
      </c>
      <c r="N12" s="17" t="s">
        <v>164</v>
      </c>
      <c r="O12" s="18">
        <v>1</v>
      </c>
      <c r="P12" s="16" t="s">
        <v>164</v>
      </c>
      <c r="Q12" s="16">
        <v>0</v>
      </c>
      <c r="R12" s="19">
        <v>2019</v>
      </c>
      <c r="S12" s="20" t="str" cm="1">
        <f t="array" ref="S12">IF(SUMPRODUCT((makaralar[MAKARA NO]=serim[[#This Row],[Makara Numarası]])*(makaralar[KALAN (mt)]&lt;0))&gt;0,
    "HATA VAR",
    "")</f>
        <v/>
      </c>
      <c r="T12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12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13" spans="1:21" ht="20.399999999999999" hidden="1" x14ac:dyDescent="0.3">
      <c r="A13" s="13">
        <v>45938</v>
      </c>
      <c r="B13" s="14" t="s">
        <v>467</v>
      </c>
      <c r="C13" s="15" t="s">
        <v>165</v>
      </c>
      <c r="D13" s="16" t="s">
        <v>338</v>
      </c>
      <c r="E13" s="16" t="s">
        <v>357</v>
      </c>
      <c r="F13" s="15" t="s">
        <v>397</v>
      </c>
      <c r="G13" s="16" t="s">
        <v>49</v>
      </c>
      <c r="H13" s="16">
        <v>2745</v>
      </c>
      <c r="I13" s="16">
        <v>2745</v>
      </c>
      <c r="J13" s="16">
        <v>2093</v>
      </c>
      <c r="K13" s="16" t="s">
        <v>166</v>
      </c>
      <c r="L13" s="17" t="s">
        <v>162</v>
      </c>
      <c r="M13" s="16" t="s">
        <v>167</v>
      </c>
      <c r="N13" s="17" t="s">
        <v>168</v>
      </c>
      <c r="O13" s="18">
        <v>1</v>
      </c>
      <c r="P13" s="16"/>
      <c r="Q13" s="16">
        <v>2093</v>
      </c>
      <c r="R13" s="19">
        <v>648</v>
      </c>
      <c r="S13" s="20" t="str" cm="1">
        <f t="array" ref="S13">IF(SUMPRODUCT((makaralar[MAKARA NO]=serim[[#This Row],[Makara Numarası]])*(makaralar[KALAN (mt)]&lt;0))&gt;0,
    "HATA VAR",
    "")</f>
        <v/>
      </c>
      <c r="T13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13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14" spans="1:21" x14ac:dyDescent="0.3">
      <c r="A14" s="13">
        <v>45936</v>
      </c>
      <c r="B14" s="14" t="s">
        <v>467</v>
      </c>
      <c r="C14" s="15" t="s">
        <v>153</v>
      </c>
      <c r="D14" s="16" t="s">
        <v>211</v>
      </c>
      <c r="E14" s="16" t="s">
        <v>364</v>
      </c>
      <c r="F14" s="15" t="s">
        <v>397</v>
      </c>
      <c r="G14" s="16" t="s">
        <v>45</v>
      </c>
      <c r="H14" s="16">
        <v>4073</v>
      </c>
      <c r="I14" s="16">
        <v>4073</v>
      </c>
      <c r="J14" s="16">
        <v>0</v>
      </c>
      <c r="K14" s="16" t="s">
        <v>233</v>
      </c>
      <c r="L14" s="17" t="s">
        <v>154</v>
      </c>
      <c r="M14" s="16" t="s">
        <v>381</v>
      </c>
      <c r="N14" s="17" t="s">
        <v>155</v>
      </c>
      <c r="O14" s="18">
        <v>2</v>
      </c>
      <c r="P14" s="16" t="s">
        <v>363</v>
      </c>
      <c r="Q14" s="16">
        <v>0</v>
      </c>
      <c r="R14" s="19">
        <v>4073</v>
      </c>
      <c r="S14" s="20" t="str" cm="1">
        <f t="array" ref="S14">IF(SUMPRODUCT((makaralar[MAKARA NO]=serim[[#This Row],[Makara Numarası]])*(makaralar[KALAN (mt)]&lt;0))&gt;0,
    "HATA VAR",
    "")</f>
        <v/>
      </c>
      <c r="T14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14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15" spans="1:21" hidden="1" x14ac:dyDescent="0.3">
      <c r="A15" s="13">
        <v>45939</v>
      </c>
      <c r="B15" s="14" t="s">
        <v>467</v>
      </c>
      <c r="C15" s="15" t="s">
        <v>182</v>
      </c>
      <c r="D15" s="16" t="s">
        <v>345</v>
      </c>
      <c r="E15" s="16" t="s">
        <v>388</v>
      </c>
      <c r="F15" s="15" t="s">
        <v>403</v>
      </c>
      <c r="G15" s="16" t="s">
        <v>61</v>
      </c>
      <c r="H15" s="16">
        <v>2048</v>
      </c>
      <c r="I15" s="16">
        <v>2048</v>
      </c>
      <c r="J15" s="16">
        <v>0</v>
      </c>
      <c r="K15" s="16" t="s">
        <v>160</v>
      </c>
      <c r="L15" s="17" t="s">
        <v>158</v>
      </c>
      <c r="M15" s="16" t="s">
        <v>389</v>
      </c>
      <c r="N15" s="17" t="s">
        <v>191</v>
      </c>
      <c r="O15" s="18">
        <v>2</v>
      </c>
      <c r="P15" s="16" t="s">
        <v>191</v>
      </c>
      <c r="Q15" s="16">
        <v>0</v>
      </c>
      <c r="R15" s="19">
        <v>2048</v>
      </c>
      <c r="S15" s="20" t="str" cm="1">
        <f t="array" ref="S15">IF(SUMPRODUCT((makaralar[MAKARA NO]=serim[[#This Row],[Makara Numarası]])*(makaralar[KALAN (mt)]&lt;0))&gt;0,
    "HATA VAR",
    "")</f>
        <v/>
      </c>
      <c r="T15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15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16" spans="1:21" x14ac:dyDescent="0.3">
      <c r="A16" s="13">
        <v>45940</v>
      </c>
      <c r="B16" s="14" t="s">
        <v>467</v>
      </c>
      <c r="C16" s="15" t="s">
        <v>192</v>
      </c>
      <c r="D16" s="16" t="s">
        <v>160</v>
      </c>
      <c r="E16" s="16" t="s">
        <v>193</v>
      </c>
      <c r="F16" s="15" t="s">
        <v>397</v>
      </c>
      <c r="G16" s="16" t="s">
        <v>47</v>
      </c>
      <c r="H16" s="16">
        <v>4048</v>
      </c>
      <c r="I16" s="16">
        <v>4048</v>
      </c>
      <c r="J16" s="16">
        <v>2450</v>
      </c>
      <c r="K16" s="16" t="s">
        <v>160</v>
      </c>
      <c r="L16" s="17" t="s">
        <v>154</v>
      </c>
      <c r="M16" s="16" t="s">
        <v>390</v>
      </c>
      <c r="N16" s="17" t="s">
        <v>194</v>
      </c>
      <c r="O16" s="18">
        <v>2</v>
      </c>
      <c r="P16" s="16" t="s">
        <v>390</v>
      </c>
      <c r="Q16" s="16">
        <v>2450</v>
      </c>
      <c r="R16" s="19">
        <v>1639</v>
      </c>
      <c r="S16" s="20" t="str" cm="1">
        <f t="array" ref="S16">IF(SUMPRODUCT((makaralar[MAKARA NO]=serim[[#This Row],[Makara Numarası]])*(makaralar[KALAN (mt)]&lt;0))&gt;0,
    "HATA VAR",
    "")</f>
        <v/>
      </c>
      <c r="T16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16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17" spans="1:21" hidden="1" x14ac:dyDescent="0.3">
      <c r="A17" s="13">
        <v>45940</v>
      </c>
      <c r="B17" s="14" t="s">
        <v>467</v>
      </c>
      <c r="C17" s="15" t="s">
        <v>195</v>
      </c>
      <c r="D17" s="16" t="s">
        <v>160</v>
      </c>
      <c r="E17" s="16" t="s">
        <v>120</v>
      </c>
      <c r="F17" s="15" t="s">
        <v>403</v>
      </c>
      <c r="G17" s="16" t="s">
        <v>63</v>
      </c>
      <c r="H17" s="16">
        <v>2013</v>
      </c>
      <c r="I17" s="16">
        <v>2013</v>
      </c>
      <c r="J17" s="16">
        <v>380</v>
      </c>
      <c r="K17" s="16" t="s">
        <v>160</v>
      </c>
      <c r="L17" s="17" t="s">
        <v>154</v>
      </c>
      <c r="M17" s="17" t="s">
        <v>390</v>
      </c>
      <c r="N17" s="17" t="s">
        <v>194</v>
      </c>
      <c r="O17" s="18">
        <v>2</v>
      </c>
      <c r="P17" s="17" t="s">
        <v>390</v>
      </c>
      <c r="Q17" s="16">
        <v>380</v>
      </c>
      <c r="R17" s="19">
        <v>1633</v>
      </c>
      <c r="S17" s="20" t="str" cm="1">
        <f t="array" ref="S17">IF(SUMPRODUCT((makaralar[MAKARA NO]=serim[[#This Row],[Makara Numarası]])*(makaralar[KALAN (mt)]&lt;0))&gt;0,
    "HATA VAR",
    "")</f>
        <v/>
      </c>
      <c r="T17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17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18" spans="1:21" hidden="1" x14ac:dyDescent="0.3">
      <c r="A18" s="13">
        <v>45941</v>
      </c>
      <c r="B18" s="14" t="s">
        <v>467</v>
      </c>
      <c r="C18" s="15" t="s">
        <v>195</v>
      </c>
      <c r="D18" s="16" t="s">
        <v>160</v>
      </c>
      <c r="E18" s="16" t="s">
        <v>120</v>
      </c>
      <c r="F18" s="15" t="s">
        <v>403</v>
      </c>
      <c r="G18" s="16" t="s">
        <v>65</v>
      </c>
      <c r="H18" s="16">
        <v>2035</v>
      </c>
      <c r="I18" s="16">
        <v>2035</v>
      </c>
      <c r="J18" s="16">
        <v>425</v>
      </c>
      <c r="K18" s="16" t="s">
        <v>160</v>
      </c>
      <c r="L18" s="17" t="s">
        <v>154</v>
      </c>
      <c r="M18" s="16" t="s">
        <v>390</v>
      </c>
      <c r="N18" s="17" t="s">
        <v>194</v>
      </c>
      <c r="O18" s="18">
        <v>1</v>
      </c>
      <c r="P18" s="17" t="s">
        <v>390</v>
      </c>
      <c r="Q18" s="16">
        <v>425</v>
      </c>
      <c r="R18" s="19">
        <v>1610</v>
      </c>
      <c r="S18" s="20" t="str" cm="1">
        <f t="array" ref="S18">IF(SUMPRODUCT((makaralar[MAKARA NO]=serim[[#This Row],[Makara Numarası]])*(makaralar[KALAN (mt)]&lt;0))&gt;0,
    "HATA VAR",
    "")</f>
        <v/>
      </c>
      <c r="T18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18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19" spans="1:21" ht="20.399999999999999" hidden="1" x14ac:dyDescent="0.3">
      <c r="A19" s="13">
        <v>45938</v>
      </c>
      <c r="B19" s="14" t="s">
        <v>467</v>
      </c>
      <c r="C19" s="15" t="s">
        <v>159</v>
      </c>
      <c r="D19" s="16" t="s">
        <v>211</v>
      </c>
      <c r="E19" s="16" t="s">
        <v>338</v>
      </c>
      <c r="F19" s="15" t="s">
        <v>397</v>
      </c>
      <c r="G19" s="16" t="s">
        <v>49</v>
      </c>
      <c r="H19" s="16">
        <v>4048</v>
      </c>
      <c r="I19" s="16">
        <v>4051</v>
      </c>
      <c r="J19" s="16">
        <v>2745</v>
      </c>
      <c r="K19" s="16" t="s">
        <v>160</v>
      </c>
      <c r="L19" s="17" t="s">
        <v>154</v>
      </c>
      <c r="M19" s="16" t="s">
        <v>161</v>
      </c>
      <c r="N19" s="16" t="s">
        <v>162</v>
      </c>
      <c r="O19" s="18">
        <v>1</v>
      </c>
      <c r="P19" s="17"/>
      <c r="Q19" s="16">
        <v>2745</v>
      </c>
      <c r="R19" s="19">
        <v>1306</v>
      </c>
      <c r="S19" s="20" t="str" cm="1">
        <f t="array" ref="S19">IF(SUMPRODUCT((makaralar[MAKARA NO]=serim[[#This Row],[Makara Numarası]])*(makaralar[KALAN (mt)]&lt;0))&gt;0,
    "HATA VAR",
    "")</f>
        <v/>
      </c>
      <c r="T19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19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20" spans="1:21" hidden="1" x14ac:dyDescent="0.3">
      <c r="A20" s="13">
        <v>45943</v>
      </c>
      <c r="B20" s="14" t="s">
        <v>467</v>
      </c>
      <c r="C20" s="15" t="s">
        <v>205</v>
      </c>
      <c r="D20" s="16" t="s">
        <v>372</v>
      </c>
      <c r="E20" s="16" t="s">
        <v>373</v>
      </c>
      <c r="F20" s="15" t="s">
        <v>397</v>
      </c>
      <c r="G20" s="16" t="s">
        <v>47</v>
      </c>
      <c r="H20" s="16">
        <v>1487</v>
      </c>
      <c r="I20" s="16">
        <v>1487</v>
      </c>
      <c r="J20" s="16">
        <v>793</v>
      </c>
      <c r="K20" s="16" t="s">
        <v>203</v>
      </c>
      <c r="L20" s="16" t="s">
        <v>204</v>
      </c>
      <c r="M20" s="16" t="s">
        <v>233</v>
      </c>
      <c r="N20" s="17" t="s">
        <v>154</v>
      </c>
      <c r="O20" s="18">
        <v>1</v>
      </c>
      <c r="P20" s="16"/>
      <c r="Q20" s="16">
        <v>793</v>
      </c>
      <c r="R20" s="19">
        <v>694</v>
      </c>
      <c r="S20" s="20" t="str" cm="1">
        <f t="array" ref="S20">IF(SUMPRODUCT((makaralar[MAKARA NO]=serim[[#This Row],[Makara Numarası]])*(makaralar[KALAN (mt)]&lt;0))&gt;0,
    "HATA VAR",
    "")</f>
        <v/>
      </c>
      <c r="T20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20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21" spans="1:21" hidden="1" x14ac:dyDescent="0.3">
      <c r="A21" s="13">
        <v>45943</v>
      </c>
      <c r="B21" s="14" t="s">
        <v>467</v>
      </c>
      <c r="C21" s="15" t="s">
        <v>201</v>
      </c>
      <c r="D21" s="16" t="s">
        <v>371</v>
      </c>
      <c r="E21" s="16" t="s">
        <v>372</v>
      </c>
      <c r="F21" s="15" t="s">
        <v>397</v>
      </c>
      <c r="G21" s="16" t="s">
        <v>47</v>
      </c>
      <c r="H21" s="16">
        <v>2130</v>
      </c>
      <c r="I21" s="16">
        <v>2130</v>
      </c>
      <c r="J21" s="16">
        <v>1487</v>
      </c>
      <c r="K21" s="16" t="s">
        <v>202</v>
      </c>
      <c r="L21" s="16" t="s">
        <v>200</v>
      </c>
      <c r="M21" s="16" t="s">
        <v>203</v>
      </c>
      <c r="N21" s="17" t="s">
        <v>204</v>
      </c>
      <c r="O21" s="18">
        <v>1</v>
      </c>
      <c r="P21" s="16"/>
      <c r="Q21" s="16">
        <v>1487</v>
      </c>
      <c r="R21" s="19">
        <v>643</v>
      </c>
      <c r="S21" s="20" t="str" cm="1">
        <f t="array" ref="S21">IF(SUMPRODUCT((makaralar[MAKARA NO]=serim[[#This Row],[Makara Numarası]])*(makaralar[KALAN (mt)]&lt;0))&gt;0,
    "HATA VAR",
    "")</f>
        <v/>
      </c>
      <c r="T21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21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22" spans="1:21" hidden="1" x14ac:dyDescent="0.3">
      <c r="A22" s="13">
        <v>45961</v>
      </c>
      <c r="B22" s="14" t="s">
        <v>412</v>
      </c>
      <c r="C22" s="21" t="s">
        <v>322</v>
      </c>
      <c r="D22" s="21" t="s">
        <v>319</v>
      </c>
      <c r="E22" s="21" t="s">
        <v>193</v>
      </c>
      <c r="F22" s="15" t="s">
        <v>397</v>
      </c>
      <c r="G22" s="21" t="s">
        <v>85</v>
      </c>
      <c r="H22" s="21">
        <v>170</v>
      </c>
      <c r="I22" s="21">
        <v>170</v>
      </c>
      <c r="J22" s="21">
        <v>0</v>
      </c>
      <c r="K22" s="21" t="s">
        <v>319</v>
      </c>
      <c r="L22" s="21" t="s">
        <v>321</v>
      </c>
      <c r="M22" s="21" t="s">
        <v>193</v>
      </c>
      <c r="N22" s="21" t="s">
        <v>217</v>
      </c>
      <c r="O22" s="22">
        <v>1</v>
      </c>
      <c r="P22" s="16"/>
      <c r="Q22" s="21">
        <v>0</v>
      </c>
      <c r="R22" s="23">
        <v>170</v>
      </c>
      <c r="S22" s="20" t="str" cm="1">
        <f t="array" ref="S22">IF(SUMPRODUCT((makaralar[MAKARA NO]=serim[[#This Row],[Makara Numarası]])*(makaralar[KALAN (mt)]&lt;0))&gt;0,
    "HATA VAR",
    "")</f>
        <v/>
      </c>
      <c r="T22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22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>HATA VAR</v>
      </c>
    </row>
    <row r="23" spans="1:21" hidden="1" x14ac:dyDescent="0.3">
      <c r="A23" s="13">
        <v>45944</v>
      </c>
      <c r="B23" s="14" t="s">
        <v>467</v>
      </c>
      <c r="C23" s="21" t="s">
        <v>195</v>
      </c>
      <c r="D23" s="21" t="s">
        <v>211</v>
      </c>
      <c r="E23" s="21" t="s">
        <v>120</v>
      </c>
      <c r="F23" s="21" t="s">
        <v>475</v>
      </c>
      <c r="G23" s="21" t="s">
        <v>73</v>
      </c>
      <c r="H23" s="21">
        <v>2015</v>
      </c>
      <c r="I23" s="21">
        <v>2015</v>
      </c>
      <c r="J23" s="21">
        <v>0</v>
      </c>
      <c r="K23" s="21" t="s">
        <v>133</v>
      </c>
      <c r="L23" s="21" t="s">
        <v>212</v>
      </c>
      <c r="M23" s="21" t="s">
        <v>120</v>
      </c>
      <c r="N23" s="21" t="s">
        <v>213</v>
      </c>
      <c r="O23" s="22">
        <v>2</v>
      </c>
      <c r="P23" s="16" t="s">
        <v>213</v>
      </c>
      <c r="Q23" s="21">
        <v>0</v>
      </c>
      <c r="R23" s="23">
        <v>2015</v>
      </c>
      <c r="S23" s="20" t="str" cm="1">
        <f t="array" ref="S23">IF(SUMPRODUCT((makaralar[MAKARA NO]=serim[[#This Row],[Makara Numarası]])*(makaralar[KALAN (mt)]&lt;0))&gt;0,
    "HATA VAR",
    "")</f>
        <v/>
      </c>
      <c r="T23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23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24" spans="1:21" hidden="1" x14ac:dyDescent="0.3">
      <c r="A24" s="13">
        <v>45944</v>
      </c>
      <c r="B24" s="14" t="s">
        <v>467</v>
      </c>
      <c r="C24" s="21" t="s">
        <v>195</v>
      </c>
      <c r="D24" s="21" t="s">
        <v>211</v>
      </c>
      <c r="E24" s="21" t="s">
        <v>120</v>
      </c>
      <c r="F24" s="21" t="s">
        <v>475</v>
      </c>
      <c r="G24" s="21" t="s">
        <v>72</v>
      </c>
      <c r="H24" s="21">
        <v>2015</v>
      </c>
      <c r="I24" s="21">
        <v>2015</v>
      </c>
      <c r="J24" s="21">
        <v>0</v>
      </c>
      <c r="K24" s="21" t="s">
        <v>133</v>
      </c>
      <c r="L24" s="21" t="s">
        <v>212</v>
      </c>
      <c r="M24" s="21" t="s">
        <v>120</v>
      </c>
      <c r="N24" s="21" t="s">
        <v>214</v>
      </c>
      <c r="O24" s="22">
        <v>1</v>
      </c>
      <c r="P24" s="16" t="s">
        <v>214</v>
      </c>
      <c r="Q24" s="21">
        <v>0</v>
      </c>
      <c r="R24" s="23">
        <v>2015</v>
      </c>
      <c r="S24" s="20" t="str" cm="1">
        <f t="array" ref="S24">IF(SUMPRODUCT((makaralar[MAKARA NO]=serim[[#This Row],[Makara Numarası]])*(makaralar[KALAN (mt)]&lt;0))&gt;0,
    "HATA VAR",
    "")</f>
        <v/>
      </c>
      <c r="T24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24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25" spans="1:21" hidden="1" x14ac:dyDescent="0.3">
      <c r="A25" s="13">
        <v>45941</v>
      </c>
      <c r="B25" s="14" t="s">
        <v>467</v>
      </c>
      <c r="C25" s="15" t="s">
        <v>196</v>
      </c>
      <c r="D25" s="16" t="s">
        <v>197</v>
      </c>
      <c r="E25" s="16" t="s">
        <v>198</v>
      </c>
      <c r="F25" s="15" t="s">
        <v>397</v>
      </c>
      <c r="G25" s="16" t="s">
        <v>47</v>
      </c>
      <c r="H25" s="16">
        <v>2450</v>
      </c>
      <c r="I25" s="16">
        <v>2450</v>
      </c>
      <c r="J25" s="16">
        <v>2130</v>
      </c>
      <c r="K25" s="16" t="s">
        <v>197</v>
      </c>
      <c r="L25" s="17" t="s">
        <v>199</v>
      </c>
      <c r="M25" s="17" t="s">
        <v>198</v>
      </c>
      <c r="N25" s="17" t="s">
        <v>200</v>
      </c>
      <c r="O25" s="18">
        <v>1</v>
      </c>
      <c r="P25" s="16"/>
      <c r="Q25" s="16">
        <v>2130</v>
      </c>
      <c r="R25" s="19">
        <v>320</v>
      </c>
      <c r="S25" s="20" t="str" cm="1">
        <f t="array" ref="S25">IF(SUMPRODUCT((makaralar[MAKARA NO]=serim[[#This Row],[Makara Numarası]])*(makaralar[KALAN (mt)]&lt;0))&gt;0,
    "HATA VAR",
    "")</f>
        <v/>
      </c>
      <c r="T25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25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26" spans="1:21" hidden="1" x14ac:dyDescent="0.3">
      <c r="A26" s="13">
        <v>45945</v>
      </c>
      <c r="B26" s="14" t="s">
        <v>467</v>
      </c>
      <c r="C26" s="21" t="s">
        <v>215</v>
      </c>
      <c r="D26" s="21" t="s">
        <v>216</v>
      </c>
      <c r="E26" s="21" t="s">
        <v>374</v>
      </c>
      <c r="F26" s="15" t="s">
        <v>476</v>
      </c>
      <c r="G26" s="21" t="s">
        <v>42</v>
      </c>
      <c r="H26" s="21">
        <v>4102</v>
      </c>
      <c r="I26" s="21">
        <v>4102</v>
      </c>
      <c r="J26" s="21">
        <v>2905</v>
      </c>
      <c r="K26" s="21" t="s">
        <v>193</v>
      </c>
      <c r="L26" s="21" t="s">
        <v>217</v>
      </c>
      <c r="M26" s="21" t="s">
        <v>218</v>
      </c>
      <c r="N26" s="21" t="s">
        <v>219</v>
      </c>
      <c r="O26" s="22">
        <v>1</v>
      </c>
      <c r="P26" s="16"/>
      <c r="Q26" s="21">
        <v>2905</v>
      </c>
      <c r="R26" s="23">
        <v>1197</v>
      </c>
      <c r="S26" s="20" t="str" cm="1">
        <f t="array" ref="S26">IF(SUMPRODUCT((makaralar[MAKARA NO]=serim[[#This Row],[Makara Numarası]])*(makaralar[KALAN (mt)]&lt;0))&gt;0,
    "HATA VAR",
    "")</f>
        <v/>
      </c>
      <c r="T26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26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27" spans="1:21" hidden="1" x14ac:dyDescent="0.3">
      <c r="A27" s="13">
        <v>45945</v>
      </c>
      <c r="B27" s="14" t="s">
        <v>467</v>
      </c>
      <c r="C27" s="21" t="s">
        <v>195</v>
      </c>
      <c r="D27" s="21" t="s">
        <v>211</v>
      </c>
      <c r="E27" s="21" t="s">
        <v>392</v>
      </c>
      <c r="F27" s="21" t="s">
        <v>475</v>
      </c>
      <c r="G27" s="21" t="s">
        <v>75</v>
      </c>
      <c r="H27" s="21">
        <v>2049</v>
      </c>
      <c r="I27" s="21">
        <v>2049</v>
      </c>
      <c r="J27" s="21">
        <v>0</v>
      </c>
      <c r="K27" s="21" t="s">
        <v>133</v>
      </c>
      <c r="L27" s="21" t="s">
        <v>214</v>
      </c>
      <c r="M27" s="21" t="s">
        <v>375</v>
      </c>
      <c r="N27" s="21" t="s">
        <v>224</v>
      </c>
      <c r="O27" s="22">
        <v>1</v>
      </c>
      <c r="P27" s="16" t="s">
        <v>375</v>
      </c>
      <c r="Q27" s="21">
        <v>0</v>
      </c>
      <c r="R27" s="23">
        <v>2049</v>
      </c>
      <c r="S27" s="20" t="str" cm="1">
        <f t="array" ref="S27">IF(SUMPRODUCT((makaralar[MAKARA NO]=serim[[#This Row],[Makara Numarası]])*(makaralar[KALAN (mt)]&lt;0))&gt;0,
    "HATA VAR",
    "")</f>
        <v/>
      </c>
      <c r="T27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27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28" spans="1:21" hidden="1" x14ac:dyDescent="0.3">
      <c r="A28" s="13">
        <v>45945</v>
      </c>
      <c r="B28" s="14" t="s">
        <v>467</v>
      </c>
      <c r="C28" s="21" t="s">
        <v>220</v>
      </c>
      <c r="D28" s="21" t="s">
        <v>374</v>
      </c>
      <c r="E28" s="21" t="s">
        <v>221</v>
      </c>
      <c r="F28" s="15" t="s">
        <v>476</v>
      </c>
      <c r="G28" s="21" t="s">
        <v>42</v>
      </c>
      <c r="H28" s="21">
        <v>2905</v>
      </c>
      <c r="I28" s="21">
        <v>2905</v>
      </c>
      <c r="J28" s="21">
        <v>1995</v>
      </c>
      <c r="K28" s="21" t="s">
        <v>218</v>
      </c>
      <c r="L28" s="21" t="s">
        <v>219</v>
      </c>
      <c r="M28" s="21" t="s">
        <v>222</v>
      </c>
      <c r="N28" s="21" t="s">
        <v>223</v>
      </c>
      <c r="O28" s="22">
        <v>1</v>
      </c>
      <c r="P28" s="16"/>
      <c r="Q28" s="21">
        <v>1995</v>
      </c>
      <c r="R28" s="23">
        <v>910</v>
      </c>
      <c r="S28" s="20" t="str" cm="1">
        <f t="array" ref="S28">IF(SUMPRODUCT((makaralar[MAKARA NO]=serim[[#This Row],[Makara Numarası]])*(makaralar[KALAN (mt)]&lt;0))&gt;0,
    "HATA VAR",
    "")</f>
        <v/>
      </c>
      <c r="T28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28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29" spans="1:21" hidden="1" x14ac:dyDescent="0.3">
      <c r="A29" s="13">
        <v>45945</v>
      </c>
      <c r="B29" s="14" t="s">
        <v>467</v>
      </c>
      <c r="C29" s="21" t="s">
        <v>225</v>
      </c>
      <c r="D29" s="21" t="s">
        <v>221</v>
      </c>
      <c r="E29" s="21" t="s">
        <v>229</v>
      </c>
      <c r="F29" s="15" t="s">
        <v>476</v>
      </c>
      <c r="G29" s="21" t="s">
        <v>42</v>
      </c>
      <c r="H29" s="21">
        <v>1995</v>
      </c>
      <c r="I29" s="21">
        <v>1995</v>
      </c>
      <c r="J29" s="21">
        <v>1410</v>
      </c>
      <c r="K29" s="21" t="s">
        <v>133</v>
      </c>
      <c r="L29" s="21" t="s">
        <v>223</v>
      </c>
      <c r="M29" s="21" t="s">
        <v>226</v>
      </c>
      <c r="N29" s="21" t="s">
        <v>227</v>
      </c>
      <c r="O29" s="22">
        <v>1</v>
      </c>
      <c r="P29" s="16"/>
      <c r="Q29" s="21">
        <v>1410</v>
      </c>
      <c r="R29" s="23">
        <v>585</v>
      </c>
      <c r="S29" s="20" t="str" cm="1">
        <f t="array" ref="S29">IF(SUMPRODUCT((makaralar[MAKARA NO]=serim[[#This Row],[Makara Numarası]])*(makaralar[KALAN (mt)]&lt;0))&gt;0,
    "HATA VAR",
    "")</f>
        <v/>
      </c>
      <c r="T29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29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30" spans="1:21" x14ac:dyDescent="0.3">
      <c r="A30" s="13">
        <v>45945</v>
      </c>
      <c r="B30" s="14" t="s">
        <v>468</v>
      </c>
      <c r="C30" s="21" t="s">
        <v>195</v>
      </c>
      <c r="D30" s="21" t="s">
        <v>211</v>
      </c>
      <c r="E30" s="21" t="s">
        <v>392</v>
      </c>
      <c r="F30" s="15" t="s">
        <v>476</v>
      </c>
      <c r="G30" s="21" t="s">
        <v>41</v>
      </c>
      <c r="H30" s="21">
        <v>4055</v>
      </c>
      <c r="I30" s="21">
        <v>4055</v>
      </c>
      <c r="J30" s="21">
        <v>0</v>
      </c>
      <c r="K30" s="21" t="s">
        <v>233</v>
      </c>
      <c r="L30" s="21" t="s">
        <v>212</v>
      </c>
      <c r="M30" s="21" t="s">
        <v>376</v>
      </c>
      <c r="N30" s="21" t="s">
        <v>234</v>
      </c>
      <c r="O30" s="22">
        <v>2</v>
      </c>
      <c r="P30" s="16" t="s">
        <v>376</v>
      </c>
      <c r="Q30" s="21">
        <v>0</v>
      </c>
      <c r="R30" s="23">
        <v>4055</v>
      </c>
      <c r="S30" s="20" t="str" cm="1">
        <f t="array" ref="S30">IF(SUMPRODUCT((makaralar[MAKARA NO]=serim[[#This Row],[Makara Numarası]])*(makaralar[KALAN (mt)]&lt;0))&gt;0,
    "HATA VAR",
    "")</f>
        <v/>
      </c>
      <c r="T30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30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31" spans="1:21" hidden="1" x14ac:dyDescent="0.3">
      <c r="A31" s="13">
        <v>45945</v>
      </c>
      <c r="B31" s="14" t="s">
        <v>468</v>
      </c>
      <c r="C31" s="21" t="s">
        <v>195</v>
      </c>
      <c r="D31" s="21" t="s">
        <v>211</v>
      </c>
      <c r="E31" s="21" t="s">
        <v>392</v>
      </c>
      <c r="F31" s="21" t="s">
        <v>475</v>
      </c>
      <c r="G31" s="21" t="s">
        <v>74</v>
      </c>
      <c r="H31" s="21">
        <v>2009</v>
      </c>
      <c r="I31" s="21">
        <v>2009</v>
      </c>
      <c r="J31" s="21">
        <v>0</v>
      </c>
      <c r="K31" s="21" t="s">
        <v>133</v>
      </c>
      <c r="L31" s="21" t="s">
        <v>213</v>
      </c>
      <c r="M31" s="21" t="s">
        <v>377</v>
      </c>
      <c r="N31" s="21" t="s">
        <v>235</v>
      </c>
      <c r="O31" s="22">
        <v>2</v>
      </c>
      <c r="P31" s="16" t="s">
        <v>377</v>
      </c>
      <c r="Q31" s="21">
        <v>0</v>
      </c>
      <c r="R31" s="23">
        <v>2009</v>
      </c>
      <c r="S31" s="20" t="str" cm="1">
        <f t="array" ref="S31">IF(SUMPRODUCT((makaralar[MAKARA NO]=serim[[#This Row],[Makara Numarası]])*(makaralar[KALAN (mt)]&lt;0))&gt;0,
    "HATA VAR",
    "")</f>
        <v/>
      </c>
      <c r="T31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31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32" spans="1:21" hidden="1" x14ac:dyDescent="0.3">
      <c r="A32" s="13">
        <v>45946</v>
      </c>
      <c r="B32" s="14" t="s">
        <v>468</v>
      </c>
      <c r="C32" s="21" t="s">
        <v>195</v>
      </c>
      <c r="D32" s="21" t="s">
        <v>211</v>
      </c>
      <c r="E32" s="21" t="s">
        <v>392</v>
      </c>
      <c r="F32" s="21" t="s">
        <v>475</v>
      </c>
      <c r="G32" s="21" t="s">
        <v>77</v>
      </c>
      <c r="H32" s="21">
        <v>2042</v>
      </c>
      <c r="I32" s="21">
        <v>2042</v>
      </c>
      <c r="J32" s="21">
        <v>0</v>
      </c>
      <c r="K32" s="21" t="s">
        <v>133</v>
      </c>
      <c r="L32" s="21" t="s">
        <v>224</v>
      </c>
      <c r="M32" s="21" t="s">
        <v>347</v>
      </c>
      <c r="N32" s="21" t="s">
        <v>236</v>
      </c>
      <c r="O32" s="22">
        <v>1</v>
      </c>
      <c r="P32" s="16" t="s">
        <v>347</v>
      </c>
      <c r="Q32" s="21">
        <v>0</v>
      </c>
      <c r="R32" s="23">
        <v>2042</v>
      </c>
      <c r="S32" s="20" t="str" cm="1">
        <f t="array" ref="S32">IF(SUMPRODUCT((makaralar[MAKARA NO]=serim[[#This Row],[Makara Numarası]])*(makaralar[KALAN (mt)]&lt;0))&gt;0,
    "HATA VAR",
    "")</f>
        <v/>
      </c>
      <c r="T32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32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33" spans="1:21" hidden="1" x14ac:dyDescent="0.3">
      <c r="A33" s="13">
        <v>45950</v>
      </c>
      <c r="B33" s="14" t="s">
        <v>468</v>
      </c>
      <c r="C33" s="21" t="s">
        <v>237</v>
      </c>
      <c r="D33" s="16" t="s">
        <v>211</v>
      </c>
      <c r="E33" s="21" t="s">
        <v>392</v>
      </c>
      <c r="F33" s="21" t="s">
        <v>475</v>
      </c>
      <c r="G33" s="21" t="s">
        <v>79</v>
      </c>
      <c r="H33" s="21">
        <v>2063</v>
      </c>
      <c r="I33" s="21">
        <v>2063</v>
      </c>
      <c r="J33" s="21">
        <v>0</v>
      </c>
      <c r="K33" s="21" t="s">
        <v>160</v>
      </c>
      <c r="L33" s="21" t="s">
        <v>235</v>
      </c>
      <c r="M33" s="21" t="s">
        <v>348</v>
      </c>
      <c r="N33" s="21" t="s">
        <v>238</v>
      </c>
      <c r="O33" s="22">
        <v>2</v>
      </c>
      <c r="P33" s="16" t="s">
        <v>348</v>
      </c>
      <c r="Q33" s="21">
        <v>0</v>
      </c>
      <c r="R33" s="23">
        <v>2063</v>
      </c>
      <c r="S33" s="20" t="str" cm="1">
        <f t="array" ref="S33">IF(SUMPRODUCT((makaralar[MAKARA NO]=serim[[#This Row],[Makara Numarası]])*(makaralar[KALAN (mt)]&lt;0))&gt;0,
    "HATA VAR",
    "")</f>
        <v/>
      </c>
      <c r="T33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33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34" spans="1:21" ht="20.399999999999999" hidden="1" x14ac:dyDescent="0.3">
      <c r="A34" s="13">
        <v>45945</v>
      </c>
      <c r="B34" s="14" t="s">
        <v>467</v>
      </c>
      <c r="C34" s="21" t="s">
        <v>228</v>
      </c>
      <c r="D34" s="21" t="s">
        <v>229</v>
      </c>
      <c r="E34" s="21" t="s">
        <v>230</v>
      </c>
      <c r="F34" s="15" t="s">
        <v>476</v>
      </c>
      <c r="G34" s="21" t="s">
        <v>85</v>
      </c>
      <c r="H34" s="21">
        <v>4042</v>
      </c>
      <c r="I34" s="21">
        <v>4042</v>
      </c>
      <c r="J34" s="21">
        <v>2480</v>
      </c>
      <c r="K34" s="21" t="s">
        <v>226</v>
      </c>
      <c r="L34" s="21" t="s">
        <v>227</v>
      </c>
      <c r="M34" s="21" t="s">
        <v>231</v>
      </c>
      <c r="N34" s="21" t="s">
        <v>232</v>
      </c>
      <c r="O34" s="22">
        <v>1</v>
      </c>
      <c r="P34" s="16"/>
      <c r="Q34" s="21">
        <v>2480</v>
      </c>
      <c r="R34" s="23">
        <v>1562</v>
      </c>
      <c r="S34" s="20" t="str" cm="1">
        <f t="array" ref="S34">IF(SUMPRODUCT((makaralar[MAKARA NO]=serim[[#This Row],[Makara Numarası]])*(makaralar[KALAN (mt)]&lt;0))&gt;0,
    "HATA VAR",
    "")</f>
        <v/>
      </c>
      <c r="T34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34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35" spans="1:21" hidden="1" x14ac:dyDescent="0.3">
      <c r="A35" s="13">
        <v>45950</v>
      </c>
      <c r="B35" s="14" t="s">
        <v>468</v>
      </c>
      <c r="C35" s="21" t="s">
        <v>239</v>
      </c>
      <c r="D35" s="21" t="s">
        <v>393</v>
      </c>
      <c r="E35" s="21" t="s">
        <v>245</v>
      </c>
      <c r="F35" s="15" t="s">
        <v>476</v>
      </c>
      <c r="G35" s="21" t="s">
        <v>85</v>
      </c>
      <c r="H35" s="21">
        <v>2480</v>
      </c>
      <c r="I35" s="21">
        <v>2480</v>
      </c>
      <c r="J35" s="21">
        <v>1935</v>
      </c>
      <c r="K35" s="21" t="s">
        <v>240</v>
      </c>
      <c r="L35" s="21" t="s">
        <v>241</v>
      </c>
      <c r="M35" s="21" t="s">
        <v>242</v>
      </c>
      <c r="N35" s="21" t="s">
        <v>243</v>
      </c>
      <c r="O35" s="22">
        <v>1</v>
      </c>
      <c r="P35" s="16"/>
      <c r="Q35" s="21">
        <v>1935</v>
      </c>
      <c r="R35" s="23">
        <v>545</v>
      </c>
      <c r="S35" s="20" t="str" cm="1">
        <f t="array" ref="S35">IF(SUMPRODUCT((makaralar[MAKARA NO]=serim[[#This Row],[Makara Numarası]])*(makaralar[KALAN (mt)]&lt;0))&gt;0,
    "HATA VAR",
    "")</f>
        <v/>
      </c>
      <c r="T35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35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36" spans="1:21" hidden="1" x14ac:dyDescent="0.3">
      <c r="A36" s="13">
        <v>45950</v>
      </c>
      <c r="B36" s="14" t="s">
        <v>468</v>
      </c>
      <c r="C36" s="21" t="s">
        <v>244</v>
      </c>
      <c r="D36" s="21" t="s">
        <v>245</v>
      </c>
      <c r="E36" s="21" t="s">
        <v>249</v>
      </c>
      <c r="F36" s="15" t="s">
        <v>476</v>
      </c>
      <c r="G36" s="21" t="s">
        <v>85</v>
      </c>
      <c r="H36" s="21">
        <v>1935</v>
      </c>
      <c r="I36" s="21">
        <v>1935</v>
      </c>
      <c r="J36" s="21">
        <v>1200</v>
      </c>
      <c r="K36" s="21" t="s">
        <v>242</v>
      </c>
      <c r="L36" s="21" t="s">
        <v>243</v>
      </c>
      <c r="M36" s="21" t="s">
        <v>246</v>
      </c>
      <c r="N36" s="21" t="s">
        <v>247</v>
      </c>
      <c r="O36" s="22">
        <v>1</v>
      </c>
      <c r="P36" s="16"/>
      <c r="Q36" s="21">
        <v>1200</v>
      </c>
      <c r="R36" s="23">
        <v>735</v>
      </c>
      <c r="S36" s="20" t="str" cm="1">
        <f t="array" ref="S36">IF(SUMPRODUCT((makaralar[MAKARA NO]=serim[[#This Row],[Makara Numarası]])*(makaralar[KALAN (mt)]&lt;0))&gt;0,
    "HATA VAR",
    "")</f>
        <v/>
      </c>
      <c r="T36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36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37" spans="1:21" x14ac:dyDescent="0.3">
      <c r="A37" s="13">
        <v>45950</v>
      </c>
      <c r="B37" s="14" t="s">
        <v>468</v>
      </c>
      <c r="C37" s="21" t="s">
        <v>195</v>
      </c>
      <c r="D37" s="21" t="s">
        <v>211</v>
      </c>
      <c r="E37" s="21" t="s">
        <v>392</v>
      </c>
      <c r="F37" s="15" t="s">
        <v>476</v>
      </c>
      <c r="G37" s="21" t="s">
        <v>43</v>
      </c>
      <c r="H37" s="21">
        <v>4052</v>
      </c>
      <c r="I37" s="21">
        <v>4052</v>
      </c>
      <c r="J37" s="21">
        <v>0</v>
      </c>
      <c r="K37" s="21" t="s">
        <v>160</v>
      </c>
      <c r="L37" s="21" t="s">
        <v>234</v>
      </c>
      <c r="M37" s="21" t="s">
        <v>349</v>
      </c>
      <c r="N37" s="21" t="s">
        <v>252</v>
      </c>
      <c r="O37" s="22">
        <v>2</v>
      </c>
      <c r="P37" s="16" t="s">
        <v>349</v>
      </c>
      <c r="Q37" s="21">
        <v>0</v>
      </c>
      <c r="R37" s="23">
        <v>4052</v>
      </c>
      <c r="S37" s="20" t="str" cm="1">
        <f t="array" ref="S37">IF(SUMPRODUCT((makaralar[MAKARA NO]=serim[[#This Row],[Makara Numarası]])*(makaralar[KALAN (mt)]&lt;0))&gt;0,
    "HATA VAR",
    "")</f>
        <v/>
      </c>
      <c r="T37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37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38" spans="1:21" hidden="1" x14ac:dyDescent="0.3">
      <c r="A38" s="13">
        <v>45950</v>
      </c>
      <c r="B38" s="14" t="s">
        <v>468</v>
      </c>
      <c r="C38" s="21" t="s">
        <v>195</v>
      </c>
      <c r="D38" s="21" t="s">
        <v>211</v>
      </c>
      <c r="E38" s="21" t="s">
        <v>392</v>
      </c>
      <c r="F38" s="21" t="s">
        <v>475</v>
      </c>
      <c r="G38" s="21" t="s">
        <v>76</v>
      </c>
      <c r="H38" s="21">
        <v>2023</v>
      </c>
      <c r="I38" s="21">
        <v>2023</v>
      </c>
      <c r="J38" s="21">
        <v>0</v>
      </c>
      <c r="K38" s="21" t="s">
        <v>160</v>
      </c>
      <c r="L38" s="21" t="s">
        <v>238</v>
      </c>
      <c r="M38" s="21" t="s">
        <v>350</v>
      </c>
      <c r="N38" s="21" t="s">
        <v>253</v>
      </c>
      <c r="O38" s="22">
        <v>2</v>
      </c>
      <c r="P38" s="16" t="s">
        <v>253</v>
      </c>
      <c r="Q38" s="21">
        <v>0</v>
      </c>
      <c r="R38" s="23">
        <v>2023</v>
      </c>
      <c r="S38" s="20" t="str" cm="1">
        <f t="array" ref="S38">IF(SUMPRODUCT((makaralar[MAKARA NO]=serim[[#This Row],[Makara Numarası]])*(makaralar[KALAN (mt)]&lt;0))&gt;0,
    "HATA VAR",
    "")</f>
        <v/>
      </c>
      <c r="T38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38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39" spans="1:21" hidden="1" x14ac:dyDescent="0.3">
      <c r="A39" s="13">
        <v>45950</v>
      </c>
      <c r="B39" s="14" t="s">
        <v>468</v>
      </c>
      <c r="C39" s="21" t="s">
        <v>248</v>
      </c>
      <c r="D39" s="21" t="s">
        <v>249</v>
      </c>
      <c r="E39" s="21" t="s">
        <v>378</v>
      </c>
      <c r="F39" s="15" t="s">
        <v>476</v>
      </c>
      <c r="G39" s="21" t="s">
        <v>85</v>
      </c>
      <c r="H39" s="21">
        <v>1200</v>
      </c>
      <c r="I39" s="21">
        <v>1200</v>
      </c>
      <c r="J39" s="21">
        <v>170</v>
      </c>
      <c r="K39" s="21" t="s">
        <v>250</v>
      </c>
      <c r="L39" s="21" t="s">
        <v>247</v>
      </c>
      <c r="M39" s="21" t="s">
        <v>125</v>
      </c>
      <c r="N39" s="21" t="s">
        <v>251</v>
      </c>
      <c r="O39" s="22">
        <v>1</v>
      </c>
      <c r="P39" s="16"/>
      <c r="Q39" s="21">
        <v>170</v>
      </c>
      <c r="R39" s="23">
        <v>1030</v>
      </c>
      <c r="S39" s="20" t="str" cm="1">
        <f t="array" ref="S39">IF(SUMPRODUCT((makaralar[MAKARA NO]=serim[[#This Row],[Makara Numarası]])*(makaralar[KALAN (mt)]&lt;0))&gt;0,
    "HATA VAR",
    "")</f>
        <v/>
      </c>
      <c r="T39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39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40" spans="1:21" hidden="1" x14ac:dyDescent="0.3">
      <c r="A40" s="13">
        <v>45950</v>
      </c>
      <c r="B40" s="14" t="s">
        <v>468</v>
      </c>
      <c r="C40" s="21" t="s">
        <v>263</v>
      </c>
      <c r="D40" s="21" t="s">
        <v>264</v>
      </c>
      <c r="E40" s="21" t="s">
        <v>265</v>
      </c>
      <c r="F40" s="15" t="s">
        <v>476</v>
      </c>
      <c r="G40" s="21" t="s">
        <v>84</v>
      </c>
      <c r="H40" s="21">
        <v>2460</v>
      </c>
      <c r="I40" s="21">
        <v>2460</v>
      </c>
      <c r="J40" s="21">
        <v>2070</v>
      </c>
      <c r="K40" s="21" t="s">
        <v>261</v>
      </c>
      <c r="L40" s="21" t="s">
        <v>262</v>
      </c>
      <c r="M40" s="21" t="s">
        <v>125</v>
      </c>
      <c r="N40" s="21" t="s">
        <v>266</v>
      </c>
      <c r="O40" s="22">
        <v>1</v>
      </c>
      <c r="P40" s="16"/>
      <c r="Q40" s="21">
        <v>2070</v>
      </c>
      <c r="R40" s="23">
        <v>390</v>
      </c>
      <c r="S40" s="20" t="str" cm="1">
        <f t="array" ref="S40">IF(SUMPRODUCT((makaralar[MAKARA NO]=serim[[#This Row],[Makara Numarası]])*(makaralar[KALAN (mt)]&lt;0))&gt;0,
    "HATA VAR",
    "")</f>
        <v/>
      </c>
      <c r="T40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40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41" spans="1:21" hidden="1" x14ac:dyDescent="0.3">
      <c r="A41" s="13">
        <v>45950</v>
      </c>
      <c r="B41" s="14" t="s">
        <v>468</v>
      </c>
      <c r="C41" s="21" t="s">
        <v>259</v>
      </c>
      <c r="D41" s="21" t="s">
        <v>260</v>
      </c>
      <c r="E41" s="21" t="s">
        <v>264</v>
      </c>
      <c r="F41" s="15" t="s">
        <v>476</v>
      </c>
      <c r="G41" s="21" t="s">
        <v>84</v>
      </c>
      <c r="H41" s="21">
        <v>3260</v>
      </c>
      <c r="I41" s="21">
        <v>3260</v>
      </c>
      <c r="J41" s="21">
        <v>2460</v>
      </c>
      <c r="K41" s="21" t="s">
        <v>257</v>
      </c>
      <c r="L41" s="21" t="s">
        <v>258</v>
      </c>
      <c r="M41" s="21" t="s">
        <v>261</v>
      </c>
      <c r="N41" s="21" t="s">
        <v>262</v>
      </c>
      <c r="O41" s="22">
        <v>1</v>
      </c>
      <c r="P41" s="16"/>
      <c r="Q41" s="21">
        <v>2460</v>
      </c>
      <c r="R41" s="23">
        <v>800</v>
      </c>
      <c r="S41" s="20" t="str" cm="1">
        <f t="array" ref="S41">IF(SUMPRODUCT((makaralar[MAKARA NO]=serim[[#This Row],[Makara Numarası]])*(makaralar[KALAN (mt)]&lt;0))&gt;0,
    "HATA VAR",
    "")</f>
        <v/>
      </c>
      <c r="T41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41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42" spans="1:21" x14ac:dyDescent="0.3">
      <c r="A42" s="13">
        <v>45951</v>
      </c>
      <c r="B42" s="14" t="s">
        <v>468</v>
      </c>
      <c r="C42" s="21" t="s">
        <v>195</v>
      </c>
      <c r="D42" s="21" t="s">
        <v>211</v>
      </c>
      <c r="E42" s="21" t="s">
        <v>394</v>
      </c>
      <c r="F42" s="15" t="s">
        <v>397</v>
      </c>
      <c r="G42" s="21" t="s">
        <v>70</v>
      </c>
      <c r="H42" s="21">
        <v>4049</v>
      </c>
      <c r="I42" s="21">
        <v>4049</v>
      </c>
      <c r="J42" s="21">
        <v>3580</v>
      </c>
      <c r="K42" s="21" t="s">
        <v>133</v>
      </c>
      <c r="L42" s="21" t="s">
        <v>267</v>
      </c>
      <c r="M42" s="21" t="s">
        <v>120</v>
      </c>
      <c r="N42" s="21" t="s">
        <v>268</v>
      </c>
      <c r="O42" s="22">
        <v>2</v>
      </c>
      <c r="P42" s="16"/>
      <c r="Q42" s="21">
        <v>3580</v>
      </c>
      <c r="R42" s="23">
        <v>469</v>
      </c>
      <c r="S42" s="20" t="str" cm="1">
        <f t="array" ref="S42">IF(SUMPRODUCT((makaralar[MAKARA NO]=serim[[#This Row],[Makara Numarası]])*(makaralar[KALAN (mt)]&lt;0))&gt;0,
    "HATA VAR",
    "")</f>
        <v/>
      </c>
      <c r="T42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42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43" spans="1:21" hidden="1" x14ac:dyDescent="0.3">
      <c r="A43" s="13">
        <v>45950</v>
      </c>
      <c r="B43" s="14" t="s">
        <v>468</v>
      </c>
      <c r="C43" s="21" t="s">
        <v>254</v>
      </c>
      <c r="D43" s="21" t="s">
        <v>255</v>
      </c>
      <c r="E43" s="21" t="s">
        <v>260</v>
      </c>
      <c r="F43" s="15" t="s">
        <v>476</v>
      </c>
      <c r="G43" s="21" t="s">
        <v>84</v>
      </c>
      <c r="H43" s="21">
        <v>4105</v>
      </c>
      <c r="I43" s="21">
        <v>4105</v>
      </c>
      <c r="J43" s="21">
        <v>3260</v>
      </c>
      <c r="K43" s="21" t="s">
        <v>115</v>
      </c>
      <c r="L43" s="21" t="s">
        <v>256</v>
      </c>
      <c r="M43" s="21" t="s">
        <v>257</v>
      </c>
      <c r="N43" s="21" t="s">
        <v>258</v>
      </c>
      <c r="O43" s="22">
        <v>1</v>
      </c>
      <c r="P43" s="16"/>
      <c r="Q43" s="21">
        <v>3260</v>
      </c>
      <c r="R43" s="23">
        <v>845</v>
      </c>
      <c r="S43" s="20" t="str" cm="1">
        <f t="array" ref="S43">IF(SUMPRODUCT((makaralar[MAKARA NO]=serim[[#This Row],[Makara Numarası]])*(makaralar[KALAN (mt)]&lt;0))&gt;0,
    "HATA VAR",
    "")</f>
        <v/>
      </c>
      <c r="T43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43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44" spans="1:21" hidden="1" x14ac:dyDescent="0.3">
      <c r="A44" s="13">
        <v>45952</v>
      </c>
      <c r="B44" s="14" t="s">
        <v>468</v>
      </c>
      <c r="C44" s="21" t="s">
        <v>195</v>
      </c>
      <c r="D44" s="21" t="s">
        <v>211</v>
      </c>
      <c r="E44" s="21" t="s">
        <v>394</v>
      </c>
      <c r="F44" s="21" t="s">
        <v>475</v>
      </c>
      <c r="G44" s="21" t="s">
        <v>88</v>
      </c>
      <c r="H44" s="21">
        <v>2014</v>
      </c>
      <c r="I44" s="21">
        <v>2014</v>
      </c>
      <c r="J44" s="21">
        <v>0</v>
      </c>
      <c r="K44" s="21" t="s">
        <v>133</v>
      </c>
      <c r="L44" s="21" t="s">
        <v>236</v>
      </c>
      <c r="M44" s="21" t="s">
        <v>351</v>
      </c>
      <c r="N44" s="21" t="s">
        <v>267</v>
      </c>
      <c r="O44" s="22">
        <v>1</v>
      </c>
      <c r="P44" s="16" t="s">
        <v>351</v>
      </c>
      <c r="Q44" s="21">
        <v>0</v>
      </c>
      <c r="R44" s="23">
        <v>2014</v>
      </c>
      <c r="S44" s="20" t="str" cm="1">
        <f t="array" ref="S44">IF(SUMPRODUCT((makaralar[MAKARA NO]=serim[[#This Row],[Makara Numarası]])*(makaralar[KALAN (mt)]&lt;0))&gt;0,
    "HATA VAR",
    "")</f>
        <v/>
      </c>
      <c r="T44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44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45" spans="1:21" hidden="1" x14ac:dyDescent="0.3">
      <c r="A45" s="13">
        <v>45952</v>
      </c>
      <c r="B45" s="14" t="s">
        <v>468</v>
      </c>
      <c r="C45" s="21" t="s">
        <v>195</v>
      </c>
      <c r="D45" s="21" t="s">
        <v>211</v>
      </c>
      <c r="E45" s="21" t="s">
        <v>394</v>
      </c>
      <c r="F45" s="15" t="s">
        <v>403</v>
      </c>
      <c r="G45" s="21" t="s">
        <v>105</v>
      </c>
      <c r="H45" s="21">
        <v>1980</v>
      </c>
      <c r="I45" s="21">
        <v>1980</v>
      </c>
      <c r="J45" s="21">
        <v>1553</v>
      </c>
      <c r="K45" s="21" t="s">
        <v>133</v>
      </c>
      <c r="L45" s="21" t="s">
        <v>267</v>
      </c>
      <c r="M45" s="21" t="s">
        <v>120</v>
      </c>
      <c r="N45" s="21" t="s">
        <v>268</v>
      </c>
      <c r="O45" s="22">
        <v>1</v>
      </c>
      <c r="P45" s="16"/>
      <c r="Q45" s="21">
        <v>1553</v>
      </c>
      <c r="R45" s="23">
        <v>477</v>
      </c>
      <c r="S45" s="20" t="str" cm="1">
        <f t="array" ref="S45">IF(SUMPRODUCT((makaralar[MAKARA NO]=serim[[#This Row],[Makara Numarası]])*(makaralar[KALAN (mt)]&lt;0))&gt;0,
    "HATA VAR",
    "")</f>
        <v/>
      </c>
      <c r="T45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45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46" spans="1:21" hidden="1" x14ac:dyDescent="0.3">
      <c r="A46" s="13">
        <v>45952</v>
      </c>
      <c r="B46" s="14" t="s">
        <v>468</v>
      </c>
      <c r="C46" s="21" t="s">
        <v>195</v>
      </c>
      <c r="D46" s="21" t="s">
        <v>211</v>
      </c>
      <c r="E46" s="21" t="s">
        <v>394</v>
      </c>
      <c r="F46" s="15" t="s">
        <v>403</v>
      </c>
      <c r="G46" s="21" t="s">
        <v>105</v>
      </c>
      <c r="H46" s="21">
        <v>1553</v>
      </c>
      <c r="I46" s="21">
        <v>1553</v>
      </c>
      <c r="J46" s="21">
        <v>1110</v>
      </c>
      <c r="K46" s="21" t="s">
        <v>133</v>
      </c>
      <c r="L46" s="21" t="s">
        <v>253</v>
      </c>
      <c r="M46" s="21" t="s">
        <v>120</v>
      </c>
      <c r="N46" s="21" t="s">
        <v>268</v>
      </c>
      <c r="O46" s="22">
        <v>2</v>
      </c>
      <c r="P46" s="16"/>
      <c r="Q46" s="21">
        <v>1110</v>
      </c>
      <c r="R46" s="23">
        <v>443</v>
      </c>
      <c r="S46" s="20" t="str" cm="1">
        <f t="array" ref="S46">IF(SUMPRODUCT((makaralar[MAKARA NO]=serim[[#This Row],[Makara Numarası]])*(makaralar[KALAN (mt)]&lt;0))&gt;0,
    "HATA VAR",
    "")</f>
        <v/>
      </c>
      <c r="T46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46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47" spans="1:21" hidden="1" x14ac:dyDescent="0.3">
      <c r="A47" s="13">
        <v>45953</v>
      </c>
      <c r="B47" s="14" t="s">
        <v>468</v>
      </c>
      <c r="C47" s="21" t="s">
        <v>272</v>
      </c>
      <c r="D47" s="21" t="s">
        <v>394</v>
      </c>
      <c r="E47" s="21" t="s">
        <v>121</v>
      </c>
      <c r="F47" s="15" t="s">
        <v>403</v>
      </c>
      <c r="G47" s="21" t="s">
        <v>104</v>
      </c>
      <c r="H47" s="21">
        <v>2004</v>
      </c>
      <c r="I47" s="21">
        <v>2004</v>
      </c>
      <c r="J47" s="21">
        <v>0</v>
      </c>
      <c r="K47" s="21" t="s">
        <v>120</v>
      </c>
      <c r="L47" s="21" t="s">
        <v>268</v>
      </c>
      <c r="M47" s="21" t="s">
        <v>352</v>
      </c>
      <c r="N47" s="21" t="s">
        <v>273</v>
      </c>
      <c r="O47" s="22">
        <v>1</v>
      </c>
      <c r="P47" s="16" t="s">
        <v>352</v>
      </c>
      <c r="Q47" s="21">
        <v>0</v>
      </c>
      <c r="R47" s="19">
        <v>2004</v>
      </c>
      <c r="S47" s="20" t="str" cm="1">
        <f t="array" ref="S47">IF(SUMPRODUCT((makaralar[MAKARA NO]=serim[[#This Row],[Makara Numarası]])*(makaralar[KALAN (mt)]&lt;0))&gt;0,
    "HATA VAR",
    "")</f>
        <v/>
      </c>
      <c r="T47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47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48" spans="1:21" hidden="1" x14ac:dyDescent="0.3">
      <c r="A48" s="13">
        <v>45953</v>
      </c>
      <c r="B48" s="14" t="s">
        <v>468</v>
      </c>
      <c r="C48" s="21" t="s">
        <v>272</v>
      </c>
      <c r="D48" s="21" t="s">
        <v>394</v>
      </c>
      <c r="E48" s="21" t="s">
        <v>121</v>
      </c>
      <c r="F48" s="15" t="s">
        <v>403</v>
      </c>
      <c r="G48" s="21" t="s">
        <v>109</v>
      </c>
      <c r="H48" s="21">
        <v>1939</v>
      </c>
      <c r="I48" s="21">
        <v>1939</v>
      </c>
      <c r="J48" s="21">
        <v>0</v>
      </c>
      <c r="K48" s="21" t="s">
        <v>120</v>
      </c>
      <c r="L48" s="21" t="s">
        <v>268</v>
      </c>
      <c r="M48" s="21" t="s">
        <v>380</v>
      </c>
      <c r="N48" s="21" t="s">
        <v>274</v>
      </c>
      <c r="O48" s="22">
        <v>2</v>
      </c>
      <c r="P48" s="16" t="s">
        <v>380</v>
      </c>
      <c r="Q48" s="21">
        <v>0</v>
      </c>
      <c r="R48" s="19">
        <v>1939</v>
      </c>
      <c r="S48" s="20" t="str" cm="1">
        <f t="array" ref="S48">IF(SUMPRODUCT((makaralar[MAKARA NO]=serim[[#This Row],[Makara Numarası]])*(makaralar[KALAN (mt)]&lt;0))&gt;0,
    "HATA VAR",
    "")</f>
        <v/>
      </c>
      <c r="T48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48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49" spans="1:21" x14ac:dyDescent="0.3">
      <c r="A49" s="13">
        <v>45954</v>
      </c>
      <c r="B49" s="14" t="s">
        <v>468</v>
      </c>
      <c r="C49" s="21" t="s">
        <v>275</v>
      </c>
      <c r="D49" s="21" t="s">
        <v>120</v>
      </c>
      <c r="E49" s="21" t="s">
        <v>222</v>
      </c>
      <c r="F49" s="15" t="s">
        <v>397</v>
      </c>
      <c r="G49" s="21" t="s">
        <v>70</v>
      </c>
      <c r="H49" s="21">
        <v>3285</v>
      </c>
      <c r="I49" s="21">
        <v>3285</v>
      </c>
      <c r="J49" s="21">
        <v>562</v>
      </c>
      <c r="K49" s="21" t="s">
        <v>120</v>
      </c>
      <c r="L49" s="21" t="s">
        <v>268</v>
      </c>
      <c r="M49" s="21" t="s">
        <v>222</v>
      </c>
      <c r="N49" s="21" t="s">
        <v>276</v>
      </c>
      <c r="O49" s="22">
        <v>2</v>
      </c>
      <c r="P49" s="16"/>
      <c r="Q49" s="21">
        <v>562</v>
      </c>
      <c r="R49" s="23">
        <v>2723</v>
      </c>
      <c r="S49" s="20" t="str" cm="1">
        <f t="array" ref="S49">IF(SUMPRODUCT((makaralar[MAKARA NO]=serim[[#This Row],[Makara Numarası]])*(makaralar[KALAN (mt)]&lt;0))&gt;0,
    "HATA VAR",
    "")</f>
        <v/>
      </c>
      <c r="T49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49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50" spans="1:21" hidden="1" x14ac:dyDescent="0.3">
      <c r="A50" s="13">
        <v>45951</v>
      </c>
      <c r="B50" s="14" t="s">
        <v>468</v>
      </c>
      <c r="C50" s="21" t="s">
        <v>269</v>
      </c>
      <c r="D50" s="21" t="s">
        <v>255</v>
      </c>
      <c r="E50" s="21" t="s">
        <v>379</v>
      </c>
      <c r="F50" s="15" t="s">
        <v>397</v>
      </c>
      <c r="G50" s="21" t="s">
        <v>70</v>
      </c>
      <c r="H50" s="21">
        <v>3580</v>
      </c>
      <c r="I50" s="21">
        <v>3580</v>
      </c>
      <c r="J50" s="21">
        <v>3285</v>
      </c>
      <c r="K50" s="21" t="s">
        <v>115</v>
      </c>
      <c r="L50" s="21" t="s">
        <v>256</v>
      </c>
      <c r="M50" s="21" t="s">
        <v>270</v>
      </c>
      <c r="N50" s="21" t="s">
        <v>271</v>
      </c>
      <c r="O50" s="22">
        <v>1</v>
      </c>
      <c r="P50" s="16"/>
      <c r="Q50" s="21">
        <v>3285</v>
      </c>
      <c r="R50" s="23">
        <v>295</v>
      </c>
      <c r="S50" s="20" t="str" cm="1">
        <f t="array" ref="S50">IF(SUMPRODUCT((makaralar[MAKARA NO]=serim[[#This Row],[Makara Numarası]])*(makaralar[KALAN (mt)]&lt;0))&gt;0,
    "HATA VAR",
    "")</f>
        <v/>
      </c>
      <c r="T50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50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51" spans="1:21" hidden="1" x14ac:dyDescent="0.3">
      <c r="A51" s="13">
        <v>45954</v>
      </c>
      <c r="B51" s="14" t="s">
        <v>468</v>
      </c>
      <c r="C51" s="21" t="s">
        <v>277</v>
      </c>
      <c r="D51" s="21" t="s">
        <v>120</v>
      </c>
      <c r="E51" s="21" t="s">
        <v>278</v>
      </c>
      <c r="F51" s="15" t="s">
        <v>397</v>
      </c>
      <c r="G51" s="21" t="s">
        <v>70</v>
      </c>
      <c r="H51" s="21">
        <v>562</v>
      </c>
      <c r="I51" s="21">
        <v>562</v>
      </c>
      <c r="J51" s="21">
        <v>420</v>
      </c>
      <c r="K51" s="21" t="s">
        <v>120</v>
      </c>
      <c r="L51" s="21" t="s">
        <v>268</v>
      </c>
      <c r="M51" s="21" t="s">
        <v>278</v>
      </c>
      <c r="N51" s="21" t="s">
        <v>279</v>
      </c>
      <c r="O51" s="22">
        <v>1</v>
      </c>
      <c r="P51" s="16"/>
      <c r="Q51" s="21">
        <v>420</v>
      </c>
      <c r="R51" s="23">
        <v>142</v>
      </c>
      <c r="S51" s="20" t="str" cm="1">
        <f t="array" ref="S51">IF(SUMPRODUCT((makaralar[MAKARA NO]=serim[[#This Row],[Makara Numarası]])*(makaralar[KALAN (mt)]&lt;0))&gt;0,
    "HATA VAR",
    "")</f>
        <v/>
      </c>
      <c r="T51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51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52" spans="1:21" hidden="1" x14ac:dyDescent="0.3">
      <c r="A52" s="13">
        <v>45954</v>
      </c>
      <c r="B52" s="14" t="s">
        <v>468</v>
      </c>
      <c r="C52" s="21" t="s">
        <v>287</v>
      </c>
      <c r="D52" s="21" t="s">
        <v>278</v>
      </c>
      <c r="E52" s="21" t="s">
        <v>285</v>
      </c>
      <c r="F52" s="15" t="s">
        <v>397</v>
      </c>
      <c r="G52" s="21" t="s">
        <v>71</v>
      </c>
      <c r="H52" s="21">
        <v>4169</v>
      </c>
      <c r="I52" s="21">
        <v>4169</v>
      </c>
      <c r="J52" s="21">
        <v>3948</v>
      </c>
      <c r="K52" s="21" t="s">
        <v>278</v>
      </c>
      <c r="L52" s="21" t="s">
        <v>279</v>
      </c>
      <c r="M52" s="21" t="s">
        <v>285</v>
      </c>
      <c r="N52" s="21" t="s">
        <v>286</v>
      </c>
      <c r="O52" s="22">
        <v>1</v>
      </c>
      <c r="P52" s="16"/>
      <c r="Q52" s="21">
        <v>3948</v>
      </c>
      <c r="R52" s="23">
        <v>320</v>
      </c>
      <c r="S52" s="20" t="str" cm="1">
        <f t="array" ref="S52">IF(SUMPRODUCT((makaralar[MAKARA NO]=serim[[#This Row],[Makara Numarası]])*(makaralar[KALAN (mt)]&lt;0))&gt;0,
    "HATA VAR",
    "")</f>
        <v/>
      </c>
      <c r="T52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52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53" spans="1:21" hidden="1" x14ac:dyDescent="0.3">
      <c r="A53" s="13">
        <v>45954</v>
      </c>
      <c r="B53" s="14" t="s">
        <v>468</v>
      </c>
      <c r="C53" s="21" t="s">
        <v>284</v>
      </c>
      <c r="D53" s="21" t="s">
        <v>285</v>
      </c>
      <c r="E53" s="21" t="s">
        <v>281</v>
      </c>
      <c r="F53" s="15" t="s">
        <v>397</v>
      </c>
      <c r="G53" s="21" t="s">
        <v>70</v>
      </c>
      <c r="H53" s="21">
        <v>420</v>
      </c>
      <c r="I53" s="21">
        <v>420</v>
      </c>
      <c r="J53" s="21">
        <v>40</v>
      </c>
      <c r="K53" s="21" t="s">
        <v>285</v>
      </c>
      <c r="L53" s="21" t="s">
        <v>286</v>
      </c>
      <c r="M53" s="21" t="s">
        <v>281</v>
      </c>
      <c r="N53" s="21" t="s">
        <v>283</v>
      </c>
      <c r="O53" s="22">
        <v>1</v>
      </c>
      <c r="P53" s="16"/>
      <c r="Q53" s="21">
        <v>40</v>
      </c>
      <c r="R53" s="23">
        <v>380</v>
      </c>
      <c r="S53" s="20" t="str" cm="1">
        <f t="array" ref="S53">IF(SUMPRODUCT((makaralar[MAKARA NO]=serim[[#This Row],[Makara Numarası]])*(makaralar[KALAN (mt)]&lt;0))&gt;0,
    "HATA VAR",
    "")</f>
        <v/>
      </c>
      <c r="T53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53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54" spans="1:21" hidden="1" x14ac:dyDescent="0.3">
      <c r="A54" s="13">
        <v>45954</v>
      </c>
      <c r="B54" s="14" t="s">
        <v>468</v>
      </c>
      <c r="C54" s="21" t="s">
        <v>280</v>
      </c>
      <c r="D54" s="21" t="s">
        <v>193</v>
      </c>
      <c r="E54" s="21" t="s">
        <v>281</v>
      </c>
      <c r="F54" s="15" t="s">
        <v>397</v>
      </c>
      <c r="G54" s="21" t="s">
        <v>84</v>
      </c>
      <c r="H54" s="21">
        <v>2070</v>
      </c>
      <c r="I54" s="21">
        <v>2070</v>
      </c>
      <c r="J54" s="21">
        <v>1763</v>
      </c>
      <c r="K54" s="21" t="s">
        <v>193</v>
      </c>
      <c r="L54" s="21" t="s">
        <v>282</v>
      </c>
      <c r="M54" s="21" t="s">
        <v>281</v>
      </c>
      <c r="N54" s="21" t="s">
        <v>283</v>
      </c>
      <c r="O54" s="22">
        <v>1</v>
      </c>
      <c r="P54" s="16"/>
      <c r="Q54" s="21">
        <v>1763</v>
      </c>
      <c r="R54" s="23">
        <v>307</v>
      </c>
      <c r="S54" s="20" t="str" cm="1">
        <f t="array" ref="S54">IF(SUMPRODUCT((makaralar[MAKARA NO]=serim[[#This Row],[Makara Numarası]])*(makaralar[KALAN (mt)]&lt;0))&gt;0,
    "HATA VAR",
    "")</f>
        <v/>
      </c>
      <c r="T54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54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>HATA VAR</v>
      </c>
    </row>
    <row r="55" spans="1:21" hidden="1" x14ac:dyDescent="0.3">
      <c r="A55" s="13">
        <v>45954</v>
      </c>
      <c r="B55" s="14" t="s">
        <v>468</v>
      </c>
      <c r="C55" s="21" t="s">
        <v>288</v>
      </c>
      <c r="D55" s="21" t="s">
        <v>193</v>
      </c>
      <c r="E55" s="21" t="s">
        <v>289</v>
      </c>
      <c r="F55" s="15" t="s">
        <v>397</v>
      </c>
      <c r="G55" s="21" t="s">
        <v>71</v>
      </c>
      <c r="H55" s="21">
        <v>3849</v>
      </c>
      <c r="I55" s="21">
        <v>3849</v>
      </c>
      <c r="J55" s="21">
        <v>3483</v>
      </c>
      <c r="K55" s="21" t="s">
        <v>193</v>
      </c>
      <c r="L55" s="21" t="s">
        <v>282</v>
      </c>
      <c r="M55" s="21" t="s">
        <v>289</v>
      </c>
      <c r="N55" s="21" t="s">
        <v>290</v>
      </c>
      <c r="O55" s="22">
        <v>1</v>
      </c>
      <c r="P55" s="16"/>
      <c r="Q55" s="21">
        <v>3483</v>
      </c>
      <c r="R55" s="23">
        <v>366</v>
      </c>
      <c r="S55" s="20" t="str" cm="1">
        <f t="array" ref="S55">IF(SUMPRODUCT((makaralar[MAKARA NO]=serim[[#This Row],[Makara Numarası]])*(makaralar[KALAN (mt)]&lt;0))&gt;0,
    "HATA VAR",
    "")</f>
        <v/>
      </c>
      <c r="T55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55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56" spans="1:21" hidden="1" x14ac:dyDescent="0.3">
      <c r="A56" s="13">
        <v>45955</v>
      </c>
      <c r="B56" s="14" t="s">
        <v>468</v>
      </c>
      <c r="C56" s="21" t="s">
        <v>119</v>
      </c>
      <c r="D56" s="21" t="s">
        <v>394</v>
      </c>
      <c r="E56" s="21" t="s">
        <v>121</v>
      </c>
      <c r="F56" s="15" t="s">
        <v>403</v>
      </c>
      <c r="G56" s="21" t="s">
        <v>101</v>
      </c>
      <c r="H56" s="21">
        <v>1991</v>
      </c>
      <c r="I56" s="21">
        <v>1991</v>
      </c>
      <c r="J56" s="21">
        <v>1285</v>
      </c>
      <c r="K56" s="21" t="s">
        <v>133</v>
      </c>
      <c r="L56" s="21" t="s">
        <v>291</v>
      </c>
      <c r="M56" s="21" t="s">
        <v>353</v>
      </c>
      <c r="N56" s="21" t="s">
        <v>292</v>
      </c>
      <c r="O56" s="22">
        <v>1</v>
      </c>
      <c r="P56" s="16" t="s">
        <v>353</v>
      </c>
      <c r="Q56" s="21">
        <v>1285</v>
      </c>
      <c r="R56" s="23">
        <v>706</v>
      </c>
      <c r="S56" s="20" t="str" cm="1">
        <f t="array" ref="S56">IF(SUMPRODUCT((makaralar[MAKARA NO]=serim[[#This Row],[Makara Numarası]])*(makaralar[KALAN (mt)]&lt;0))&gt;0,
    "HATA VAR",
    "")</f>
        <v/>
      </c>
      <c r="T56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56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57" spans="1:21" hidden="1" x14ac:dyDescent="0.3">
      <c r="A57" s="13">
        <v>45955</v>
      </c>
      <c r="B57" s="14" t="s">
        <v>468</v>
      </c>
      <c r="C57" s="21" t="s">
        <v>119</v>
      </c>
      <c r="D57" s="21" t="s">
        <v>394</v>
      </c>
      <c r="E57" s="21" t="s">
        <v>121</v>
      </c>
      <c r="F57" s="15" t="s">
        <v>403</v>
      </c>
      <c r="G57" s="21" t="s">
        <v>101</v>
      </c>
      <c r="H57" s="21">
        <v>1285</v>
      </c>
      <c r="I57" s="21">
        <v>1285</v>
      </c>
      <c r="J57" s="21">
        <v>500</v>
      </c>
      <c r="K57" s="21" t="s">
        <v>133</v>
      </c>
      <c r="L57" s="21" t="s">
        <v>274</v>
      </c>
      <c r="M57" s="21" t="s">
        <v>353</v>
      </c>
      <c r="N57" s="21" t="s">
        <v>292</v>
      </c>
      <c r="O57" s="22">
        <v>2</v>
      </c>
      <c r="P57" s="16" t="s">
        <v>353</v>
      </c>
      <c r="Q57" s="21">
        <v>500</v>
      </c>
      <c r="R57" s="23">
        <v>785</v>
      </c>
      <c r="S57" s="20" t="str" cm="1">
        <f t="array" ref="S57">IF(SUMPRODUCT((makaralar[MAKARA NO]=serim[[#This Row],[Makara Numarası]])*(makaralar[KALAN (mt)]&lt;0))&gt;0,
    "HATA VAR",
    "")</f>
        <v/>
      </c>
      <c r="T57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57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58" spans="1:21" hidden="1" x14ac:dyDescent="0.3">
      <c r="A58" s="13">
        <v>45957</v>
      </c>
      <c r="B58" s="14" t="s">
        <v>468</v>
      </c>
      <c r="C58" s="21" t="s">
        <v>293</v>
      </c>
      <c r="D58" s="21" t="s">
        <v>394</v>
      </c>
      <c r="E58" s="21" t="s">
        <v>121</v>
      </c>
      <c r="F58" s="21" t="s">
        <v>475</v>
      </c>
      <c r="G58" s="21" t="s">
        <v>78</v>
      </c>
      <c r="H58" s="21">
        <v>2014</v>
      </c>
      <c r="I58" s="21">
        <v>2014</v>
      </c>
      <c r="J58" s="21">
        <v>650</v>
      </c>
      <c r="K58" s="21" t="s">
        <v>120</v>
      </c>
      <c r="L58" s="21" t="s">
        <v>292</v>
      </c>
      <c r="M58" s="21" t="s">
        <v>354</v>
      </c>
      <c r="N58" s="21" t="s">
        <v>294</v>
      </c>
      <c r="O58" s="22">
        <v>1</v>
      </c>
      <c r="P58" s="16" t="s">
        <v>354</v>
      </c>
      <c r="Q58" s="21">
        <v>650</v>
      </c>
      <c r="R58" s="23">
        <v>1364</v>
      </c>
      <c r="S58" s="20" t="str" cm="1">
        <f t="array" ref="S58">IF(SUMPRODUCT((makaralar[MAKARA NO]=serim[[#This Row],[Makara Numarası]])*(makaralar[KALAN (mt)]&lt;0))&gt;0,
    "HATA VAR",
    "")</f>
        <v/>
      </c>
      <c r="T58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58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59" spans="1:21" hidden="1" x14ac:dyDescent="0.3">
      <c r="A59" s="13">
        <v>45957</v>
      </c>
      <c r="B59" s="14" t="s">
        <v>468</v>
      </c>
      <c r="C59" s="21" t="s">
        <v>293</v>
      </c>
      <c r="D59" s="21" t="s">
        <v>394</v>
      </c>
      <c r="E59" s="21" t="s">
        <v>121</v>
      </c>
      <c r="F59" s="21" t="s">
        <v>475</v>
      </c>
      <c r="G59" s="21" t="s">
        <v>87</v>
      </c>
      <c r="H59" s="21">
        <v>2014</v>
      </c>
      <c r="I59" s="21">
        <v>2014</v>
      </c>
      <c r="J59" s="21">
        <v>643</v>
      </c>
      <c r="K59" s="21" t="s">
        <v>120</v>
      </c>
      <c r="L59" s="21" t="s">
        <v>292</v>
      </c>
      <c r="M59" s="21" t="s">
        <v>354</v>
      </c>
      <c r="N59" s="21" t="s">
        <v>294</v>
      </c>
      <c r="O59" s="22">
        <v>2</v>
      </c>
      <c r="P59" s="16" t="s">
        <v>354</v>
      </c>
      <c r="Q59" s="21">
        <v>643</v>
      </c>
      <c r="R59" s="23">
        <v>1371</v>
      </c>
      <c r="S59" s="20" t="str" cm="1">
        <f t="array" ref="S59">IF(SUMPRODUCT((makaralar[MAKARA NO]=serim[[#This Row],[Makara Numarası]])*(makaralar[KALAN (mt)]&lt;0))&gt;0,
    "HATA VAR",
    "")</f>
        <v/>
      </c>
      <c r="T59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59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60" spans="1:21" ht="20.399999999999999" x14ac:dyDescent="0.3">
      <c r="A60" s="13">
        <v>45957</v>
      </c>
      <c r="B60" s="14" t="s">
        <v>468</v>
      </c>
      <c r="C60" s="21" t="s">
        <v>295</v>
      </c>
      <c r="D60" s="21" t="s">
        <v>296</v>
      </c>
      <c r="E60" s="21" t="s">
        <v>297</v>
      </c>
      <c r="F60" s="15" t="s">
        <v>476</v>
      </c>
      <c r="G60" s="21" t="s">
        <v>42</v>
      </c>
      <c r="H60" s="21">
        <v>1410</v>
      </c>
      <c r="I60" s="21">
        <v>1410</v>
      </c>
      <c r="J60" s="21">
        <v>100</v>
      </c>
      <c r="K60" s="21" t="s">
        <v>298</v>
      </c>
      <c r="L60" s="21" t="s">
        <v>276</v>
      </c>
      <c r="M60" s="21" t="s">
        <v>297</v>
      </c>
      <c r="N60" s="21" t="s">
        <v>299</v>
      </c>
      <c r="O60" s="22">
        <v>2</v>
      </c>
      <c r="P60" s="16"/>
      <c r="Q60" s="21">
        <v>100</v>
      </c>
      <c r="R60" s="23">
        <v>1310</v>
      </c>
      <c r="S60" s="20" t="str" cm="1">
        <f t="array" ref="S60">IF(SUMPRODUCT((makaralar[MAKARA NO]=serim[[#This Row],[Makara Numarası]])*(makaralar[KALAN (mt)]&lt;0))&gt;0,
    "HATA VAR",
    "")</f>
        <v/>
      </c>
      <c r="T60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60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61" spans="1:21" hidden="1" x14ac:dyDescent="0.3">
      <c r="A61" s="13">
        <v>45954</v>
      </c>
      <c r="B61" s="14" t="s">
        <v>468</v>
      </c>
      <c r="C61" s="21" t="s">
        <v>288</v>
      </c>
      <c r="D61" s="21" t="s">
        <v>193</v>
      </c>
      <c r="E61" s="21" t="s">
        <v>289</v>
      </c>
      <c r="F61" s="15" t="s">
        <v>397</v>
      </c>
      <c r="G61" s="21" t="s">
        <v>71</v>
      </c>
      <c r="H61" s="21">
        <v>3483</v>
      </c>
      <c r="I61" s="21">
        <v>3483</v>
      </c>
      <c r="J61" s="21">
        <v>2153</v>
      </c>
      <c r="K61" s="21" t="s">
        <v>193</v>
      </c>
      <c r="L61" s="21" t="s">
        <v>290</v>
      </c>
      <c r="M61" s="21" t="s">
        <v>353</v>
      </c>
      <c r="N61" s="21" t="s">
        <v>353</v>
      </c>
      <c r="O61" s="22">
        <v>1</v>
      </c>
      <c r="P61" s="16" t="s">
        <v>353</v>
      </c>
      <c r="Q61" s="21">
        <v>2153</v>
      </c>
      <c r="R61" s="23">
        <v>1330</v>
      </c>
      <c r="S61" s="20" t="str" cm="1">
        <f t="array" ref="S61">IF(SUMPRODUCT((makaralar[MAKARA NO]=serim[[#This Row],[Makara Numarası]])*(makaralar[KALAN (mt)]&lt;0))&gt;0,
    "HATA VAR",
    "")</f>
        <v/>
      </c>
      <c r="T61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61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62" spans="1:21" x14ac:dyDescent="0.3">
      <c r="A62" s="13">
        <v>45959</v>
      </c>
      <c r="B62" s="14" t="s">
        <v>412</v>
      </c>
      <c r="C62" s="21" t="s">
        <v>302</v>
      </c>
      <c r="D62" s="21" t="s">
        <v>240</v>
      </c>
      <c r="E62" s="21" t="s">
        <v>303</v>
      </c>
      <c r="F62" s="15" t="s">
        <v>397</v>
      </c>
      <c r="G62" s="21" t="s">
        <v>71</v>
      </c>
      <c r="H62" s="21">
        <v>2153</v>
      </c>
      <c r="I62" s="21">
        <v>2153</v>
      </c>
      <c r="J62" s="21">
        <v>1674</v>
      </c>
      <c r="K62" s="21" t="s">
        <v>240</v>
      </c>
      <c r="L62" s="21" t="s">
        <v>299</v>
      </c>
      <c r="M62" s="21" t="s">
        <v>303</v>
      </c>
      <c r="N62" s="21" t="s">
        <v>304</v>
      </c>
      <c r="O62" s="22">
        <v>2</v>
      </c>
      <c r="P62" s="16"/>
      <c r="Q62" s="21">
        <v>1674</v>
      </c>
      <c r="R62" s="23">
        <v>479</v>
      </c>
      <c r="S62" s="20" t="str" cm="1">
        <f t="array" ref="S62">IF(SUMPRODUCT((makaralar[MAKARA NO]=serim[[#This Row],[Makara Numarası]])*(makaralar[KALAN (mt)]&lt;0))&gt;0,
    "HATA VAR",
    "")</f>
        <v/>
      </c>
      <c r="T62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62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63" spans="1:21" x14ac:dyDescent="0.3">
      <c r="A63" s="13">
        <v>45959</v>
      </c>
      <c r="B63" s="14" t="s">
        <v>412</v>
      </c>
      <c r="C63" s="21" t="s">
        <v>305</v>
      </c>
      <c r="D63" s="21" t="s">
        <v>303</v>
      </c>
      <c r="E63" s="21" t="s">
        <v>306</v>
      </c>
      <c r="F63" s="15" t="s">
        <v>397</v>
      </c>
      <c r="G63" s="21" t="s">
        <v>71</v>
      </c>
      <c r="H63" s="21">
        <v>1674</v>
      </c>
      <c r="I63" s="21">
        <v>1674</v>
      </c>
      <c r="J63" s="21">
        <v>1300</v>
      </c>
      <c r="K63" s="21" t="s">
        <v>303</v>
      </c>
      <c r="L63" s="21" t="s">
        <v>304</v>
      </c>
      <c r="M63" s="21" t="s">
        <v>306</v>
      </c>
      <c r="N63" s="21" t="s">
        <v>307</v>
      </c>
      <c r="O63" s="22">
        <v>2</v>
      </c>
      <c r="P63" s="16"/>
      <c r="Q63" s="21">
        <v>1300</v>
      </c>
      <c r="R63" s="23">
        <v>374</v>
      </c>
      <c r="S63" s="20" t="str" cm="1">
        <f t="array" ref="S63">IF(SUMPRODUCT((makaralar[MAKARA NO]=serim[[#This Row],[Makara Numarası]])*(makaralar[KALAN (mt)]&lt;0))&gt;0,
    "HATA VAR",
    "")</f>
        <v/>
      </c>
      <c r="T63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63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64" spans="1:21" x14ac:dyDescent="0.3">
      <c r="A64" s="13">
        <v>45959</v>
      </c>
      <c r="B64" s="14" t="s">
        <v>412</v>
      </c>
      <c r="C64" s="21" t="s">
        <v>308</v>
      </c>
      <c r="D64" s="21" t="s">
        <v>306</v>
      </c>
      <c r="E64" s="21" t="s">
        <v>309</v>
      </c>
      <c r="F64" s="15" t="s">
        <v>397</v>
      </c>
      <c r="G64" s="21" t="s">
        <v>71</v>
      </c>
      <c r="H64" s="21">
        <v>1300</v>
      </c>
      <c r="I64" s="21">
        <v>1300</v>
      </c>
      <c r="J64" s="21">
        <v>1105</v>
      </c>
      <c r="K64" s="21" t="s">
        <v>306</v>
      </c>
      <c r="L64" s="21" t="s">
        <v>307</v>
      </c>
      <c r="M64" s="21" t="s">
        <v>309</v>
      </c>
      <c r="N64" s="21" t="s">
        <v>310</v>
      </c>
      <c r="O64" s="22">
        <v>2</v>
      </c>
      <c r="P64" s="16"/>
      <c r="Q64" s="21">
        <v>1105</v>
      </c>
      <c r="R64" s="23">
        <v>195</v>
      </c>
      <c r="S64" s="20" t="str" cm="1">
        <f t="array" ref="S64">IF(SUMPRODUCT((makaralar[MAKARA NO]=serim[[#This Row],[Makara Numarası]])*(makaralar[KALAN (mt)]&lt;0))&gt;0,
    "HATA VAR",
    "")</f>
        <v/>
      </c>
      <c r="T64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64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65" spans="1:21" hidden="1" x14ac:dyDescent="0.3">
      <c r="A65" s="13">
        <v>45960</v>
      </c>
      <c r="B65" s="14" t="s">
        <v>412</v>
      </c>
      <c r="C65" s="21" t="s">
        <v>119</v>
      </c>
      <c r="D65" s="21" t="s">
        <v>120</v>
      </c>
      <c r="E65" s="21" t="s">
        <v>121</v>
      </c>
      <c r="F65" s="15" t="s">
        <v>403</v>
      </c>
      <c r="G65" s="21" t="s">
        <v>100</v>
      </c>
      <c r="H65" s="21">
        <v>2013</v>
      </c>
      <c r="I65" s="21">
        <v>2013</v>
      </c>
      <c r="J65" s="21">
        <v>0</v>
      </c>
      <c r="K65" s="21" t="s">
        <v>354</v>
      </c>
      <c r="L65" s="21" t="s">
        <v>294</v>
      </c>
      <c r="M65" s="21" t="s">
        <v>355</v>
      </c>
      <c r="N65" s="21" t="s">
        <v>310</v>
      </c>
      <c r="O65" s="22">
        <v>2</v>
      </c>
      <c r="P65" s="16" t="s">
        <v>355</v>
      </c>
      <c r="Q65" s="21">
        <v>0</v>
      </c>
      <c r="R65" s="23">
        <v>2013</v>
      </c>
      <c r="S65" s="20" t="str" cm="1">
        <f t="array" ref="S65">IF(SUMPRODUCT((makaralar[MAKARA NO]=serim[[#This Row],[Makara Numarası]])*(makaralar[KALAN (mt)]&lt;0))&gt;0,
    "HATA VAR",
    "")</f>
        <v/>
      </c>
      <c r="T65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65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66" spans="1:21" hidden="1" x14ac:dyDescent="0.3">
      <c r="A66" s="13">
        <v>45960</v>
      </c>
      <c r="B66" s="14" t="s">
        <v>412</v>
      </c>
      <c r="C66" s="21" t="s">
        <v>119</v>
      </c>
      <c r="D66" s="21" t="s">
        <v>120</v>
      </c>
      <c r="E66" s="21" t="s">
        <v>121</v>
      </c>
      <c r="F66" s="15" t="s">
        <v>403</v>
      </c>
      <c r="G66" s="21" t="s">
        <v>106</v>
      </c>
      <c r="H66" s="21">
        <v>2054</v>
      </c>
      <c r="I66" s="21">
        <v>2054</v>
      </c>
      <c r="J66" s="21">
        <v>0</v>
      </c>
      <c r="K66" s="21" t="s">
        <v>354</v>
      </c>
      <c r="L66" s="21" t="s">
        <v>294</v>
      </c>
      <c r="M66" s="21" t="s">
        <v>355</v>
      </c>
      <c r="N66" s="21" t="s">
        <v>311</v>
      </c>
      <c r="O66" s="22">
        <v>1</v>
      </c>
      <c r="P66" s="16" t="s">
        <v>355</v>
      </c>
      <c r="Q66" s="21">
        <v>0</v>
      </c>
      <c r="R66" s="23">
        <v>2054</v>
      </c>
      <c r="S66" s="20" t="str" cm="1">
        <f t="array" ref="S66">IF(SUMPRODUCT((makaralar[MAKARA NO]=serim[[#This Row],[Makara Numarası]])*(makaralar[KALAN (mt)]&lt;0))&gt;0,
    "HATA VAR",
    "")</f>
        <v/>
      </c>
      <c r="T66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66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67" spans="1:21" hidden="1" x14ac:dyDescent="0.3">
      <c r="A67" s="13">
        <v>45961</v>
      </c>
      <c r="B67" s="14" t="s">
        <v>412</v>
      </c>
      <c r="C67" s="21" t="s">
        <v>119</v>
      </c>
      <c r="D67" s="21" t="s">
        <v>120</v>
      </c>
      <c r="E67" s="21" t="s">
        <v>121</v>
      </c>
      <c r="F67" s="15" t="s">
        <v>403</v>
      </c>
      <c r="G67" s="21" t="s">
        <v>103</v>
      </c>
      <c r="H67" s="21">
        <v>1990</v>
      </c>
      <c r="I67" s="21">
        <v>1990</v>
      </c>
      <c r="J67" s="21">
        <v>190</v>
      </c>
      <c r="K67" s="16" t="s">
        <v>358</v>
      </c>
      <c r="L67" s="21" t="s">
        <v>312</v>
      </c>
      <c r="M67" s="16" t="s">
        <v>359</v>
      </c>
      <c r="N67" s="21" t="s">
        <v>114</v>
      </c>
      <c r="O67" s="22">
        <v>1</v>
      </c>
      <c r="P67" s="16" t="s">
        <v>359</v>
      </c>
      <c r="Q67" s="21">
        <v>190</v>
      </c>
      <c r="R67" s="23">
        <v>1800</v>
      </c>
      <c r="S67" s="20" t="str" cm="1">
        <f t="array" ref="S67">IF(SUMPRODUCT((makaralar[MAKARA NO]=serim[[#This Row],[Makara Numarası]])*(makaralar[KALAN (mt)]&lt;0))&gt;0,
    "HATA VAR",
    "")</f>
        <v/>
      </c>
      <c r="T67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67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68" spans="1:21" hidden="1" x14ac:dyDescent="0.3">
      <c r="A68" s="13">
        <v>45961</v>
      </c>
      <c r="B68" s="14" t="s">
        <v>412</v>
      </c>
      <c r="C68" s="21" t="s">
        <v>119</v>
      </c>
      <c r="D68" s="21" t="s">
        <v>120</v>
      </c>
      <c r="E68" s="21" t="s">
        <v>121</v>
      </c>
      <c r="F68" s="15" t="s">
        <v>403</v>
      </c>
      <c r="G68" s="21" t="s">
        <v>98</v>
      </c>
      <c r="H68" s="21">
        <v>2013</v>
      </c>
      <c r="I68" s="21">
        <v>2013</v>
      </c>
      <c r="J68" s="21">
        <v>220</v>
      </c>
      <c r="K68" s="16" t="s">
        <v>358</v>
      </c>
      <c r="L68" s="21" t="s">
        <v>312</v>
      </c>
      <c r="M68" s="16" t="s">
        <v>359</v>
      </c>
      <c r="N68" s="21" t="s">
        <v>114</v>
      </c>
      <c r="O68" s="22">
        <v>2</v>
      </c>
      <c r="P68" s="16" t="s">
        <v>359</v>
      </c>
      <c r="Q68" s="21">
        <v>220</v>
      </c>
      <c r="R68" s="23">
        <v>1793</v>
      </c>
      <c r="S68" s="20" t="str" cm="1">
        <f t="array" ref="S68">IF(SUMPRODUCT((makaralar[MAKARA NO]=serim[[#This Row],[Makara Numarası]])*(makaralar[KALAN (mt)]&lt;0))&gt;0,
    "HATA VAR",
    "")</f>
        <v/>
      </c>
      <c r="T68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68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69" spans="1:21" x14ac:dyDescent="0.3">
      <c r="A69" s="13">
        <v>45961</v>
      </c>
      <c r="B69" s="14" t="s">
        <v>412</v>
      </c>
      <c r="C69" s="21" t="s">
        <v>313</v>
      </c>
      <c r="D69" s="21" t="s">
        <v>309</v>
      </c>
      <c r="E69" s="21" t="s">
        <v>314</v>
      </c>
      <c r="F69" s="15" t="s">
        <v>397</v>
      </c>
      <c r="G69" s="21" t="s">
        <v>68</v>
      </c>
      <c r="H69" s="21">
        <v>4100</v>
      </c>
      <c r="I69" s="21">
        <v>4100</v>
      </c>
      <c r="J69" s="21">
        <v>2565</v>
      </c>
      <c r="K69" s="21" t="s">
        <v>309</v>
      </c>
      <c r="L69" s="21" t="s">
        <v>310</v>
      </c>
      <c r="M69" s="21" t="s">
        <v>314</v>
      </c>
      <c r="N69" s="21" t="s">
        <v>315</v>
      </c>
      <c r="O69" s="22">
        <v>2</v>
      </c>
      <c r="P69" s="16"/>
      <c r="Q69" s="21">
        <v>2565</v>
      </c>
      <c r="R69" s="23">
        <v>1535</v>
      </c>
      <c r="S69" s="20" t="str" cm="1">
        <f t="array" ref="S69">IF(SUMPRODUCT((makaralar[MAKARA NO]=serim[[#This Row],[Makara Numarası]])*(makaralar[KALAN (mt)]&lt;0))&gt;0,
    "HATA VAR",
    "")</f>
        <v/>
      </c>
      <c r="T69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69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70" spans="1:21" x14ac:dyDescent="0.3">
      <c r="A70" s="13">
        <v>45961</v>
      </c>
      <c r="B70" s="14" t="s">
        <v>412</v>
      </c>
      <c r="C70" s="21" t="s">
        <v>316</v>
      </c>
      <c r="D70" s="21" t="s">
        <v>314</v>
      </c>
      <c r="E70" s="21" t="s">
        <v>125</v>
      </c>
      <c r="F70" s="15" t="s">
        <v>397</v>
      </c>
      <c r="G70" s="21" t="s">
        <v>68</v>
      </c>
      <c r="H70" s="21">
        <v>2565</v>
      </c>
      <c r="I70" s="21">
        <v>2565</v>
      </c>
      <c r="J70" s="21">
        <v>1150</v>
      </c>
      <c r="K70" s="21" t="s">
        <v>314</v>
      </c>
      <c r="L70" s="21" t="s">
        <v>315</v>
      </c>
      <c r="M70" s="21" t="s">
        <v>125</v>
      </c>
      <c r="N70" s="21" t="s">
        <v>126</v>
      </c>
      <c r="O70" s="22">
        <v>2</v>
      </c>
      <c r="P70" s="16"/>
      <c r="Q70" s="21">
        <v>1150</v>
      </c>
      <c r="R70" s="23">
        <v>1415</v>
      </c>
      <c r="S70" s="20" t="str" cm="1">
        <f t="array" ref="S70">IF(SUMPRODUCT((makaralar[MAKARA NO]=serim[[#This Row],[Makara Numarası]])*(makaralar[KALAN (mt)]&lt;0))&gt;0,
    "HATA VAR",
    "")</f>
        <v/>
      </c>
      <c r="T70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70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71" spans="1:21" hidden="1" x14ac:dyDescent="0.3">
      <c r="A71" s="13">
        <v>45961</v>
      </c>
      <c r="B71" s="14" t="s">
        <v>467</v>
      </c>
      <c r="C71" s="21" t="s">
        <v>317</v>
      </c>
      <c r="D71" s="21" t="s">
        <v>318</v>
      </c>
      <c r="E71" s="21" t="s">
        <v>319</v>
      </c>
      <c r="F71" s="15" t="s">
        <v>397</v>
      </c>
      <c r="G71" s="21" t="s">
        <v>42</v>
      </c>
      <c r="H71" s="21">
        <v>100</v>
      </c>
      <c r="I71" s="21">
        <v>100</v>
      </c>
      <c r="J71" s="21">
        <v>0</v>
      </c>
      <c r="K71" s="16" t="s">
        <v>360</v>
      </c>
      <c r="L71" s="16" t="s">
        <v>320</v>
      </c>
      <c r="M71" s="21" t="s">
        <v>319</v>
      </c>
      <c r="N71" s="21" t="s">
        <v>321</v>
      </c>
      <c r="O71" s="22">
        <v>1</v>
      </c>
      <c r="P71" s="16"/>
      <c r="Q71" s="21">
        <v>0</v>
      </c>
      <c r="R71" s="23">
        <v>100</v>
      </c>
      <c r="S71" s="20" t="str" cm="1">
        <f t="array" ref="S71">IF(SUMPRODUCT((makaralar[MAKARA NO]=serim[[#This Row],[Makara Numarası]])*(makaralar[KALAN (mt)]&lt;0))&gt;0,
    "HATA VAR",
    "")</f>
        <v/>
      </c>
      <c r="T71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71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>HATA VAR</v>
      </c>
    </row>
    <row r="72" spans="1:21" hidden="1" x14ac:dyDescent="0.3">
      <c r="A72" s="13">
        <v>45957</v>
      </c>
      <c r="B72" s="14" t="s">
        <v>468</v>
      </c>
      <c r="C72" s="21" t="s">
        <v>300</v>
      </c>
      <c r="D72" s="21" t="s">
        <v>133</v>
      </c>
      <c r="E72" s="21" t="s">
        <v>301</v>
      </c>
      <c r="F72" s="15" t="s">
        <v>476</v>
      </c>
      <c r="G72" s="21" t="s">
        <v>84</v>
      </c>
      <c r="H72" s="21">
        <v>1763</v>
      </c>
      <c r="I72" s="21">
        <v>1763</v>
      </c>
      <c r="J72" s="21">
        <v>316</v>
      </c>
      <c r="K72" s="21" t="s">
        <v>133</v>
      </c>
      <c r="L72" s="21" t="s">
        <v>292</v>
      </c>
      <c r="M72" s="21" t="s">
        <v>301</v>
      </c>
      <c r="N72" s="21" t="s">
        <v>294</v>
      </c>
      <c r="O72" s="22">
        <v>1</v>
      </c>
      <c r="P72" s="16"/>
      <c r="Q72" s="21">
        <v>316</v>
      </c>
      <c r="R72" s="23">
        <v>1447</v>
      </c>
      <c r="S72" s="20" t="str" cm="1">
        <f t="array" ref="S72">IF(SUMPRODUCT((makaralar[MAKARA NO]=serim[[#This Row],[Makara Numarası]])*(makaralar[KALAN (mt)]&lt;0))&gt;0,
    "HATA VAR",
    "")</f>
        <v/>
      </c>
      <c r="T72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72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73" spans="1:21" hidden="1" x14ac:dyDescent="0.3">
      <c r="A73" s="13">
        <v>45961</v>
      </c>
      <c r="B73" s="14" t="s">
        <v>412</v>
      </c>
      <c r="C73" s="21" t="s">
        <v>323</v>
      </c>
      <c r="D73" s="21" t="s">
        <v>301</v>
      </c>
      <c r="E73" s="21" t="s">
        <v>133</v>
      </c>
      <c r="F73" s="15" t="s">
        <v>397</v>
      </c>
      <c r="G73" s="21" t="s">
        <v>67</v>
      </c>
      <c r="H73" s="21">
        <v>4079</v>
      </c>
      <c r="I73" s="21">
        <v>4079</v>
      </c>
      <c r="J73" s="21">
        <v>210</v>
      </c>
      <c r="K73" s="16" t="s">
        <v>354</v>
      </c>
      <c r="L73" s="21" t="s">
        <v>294</v>
      </c>
      <c r="M73" s="16" t="s">
        <v>359</v>
      </c>
      <c r="N73" s="21" t="s">
        <v>114</v>
      </c>
      <c r="O73" s="22">
        <v>1</v>
      </c>
      <c r="P73" s="16" t="s">
        <v>359</v>
      </c>
      <c r="Q73" s="21">
        <v>210</v>
      </c>
      <c r="R73" s="23">
        <v>3869</v>
      </c>
      <c r="S73" s="20" t="str" cm="1">
        <f t="array" ref="S73">IF(SUMPRODUCT((makaralar[MAKARA NO]=serim[[#This Row],[Makara Numarası]])*(makaralar[KALAN (mt)]&lt;0))&gt;0,
    "HATA VAR",
    "")</f>
        <v/>
      </c>
      <c r="T73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73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74" spans="1:21" hidden="1" x14ac:dyDescent="0.3">
      <c r="A74" s="13">
        <v>45964</v>
      </c>
      <c r="B74" s="14" t="s">
        <v>412</v>
      </c>
      <c r="C74" s="21" t="s">
        <v>119</v>
      </c>
      <c r="D74" s="21" t="s">
        <v>120</v>
      </c>
      <c r="E74" s="21" t="s">
        <v>121</v>
      </c>
      <c r="F74" s="21" t="s">
        <v>475</v>
      </c>
      <c r="G74" s="21" t="s">
        <v>93</v>
      </c>
      <c r="H74" s="21">
        <v>1905</v>
      </c>
      <c r="I74" s="21">
        <v>1905</v>
      </c>
      <c r="J74" s="21">
        <v>300</v>
      </c>
      <c r="K74" s="21" t="s">
        <v>359</v>
      </c>
      <c r="L74" s="21" t="s">
        <v>114</v>
      </c>
      <c r="M74" s="21" t="s">
        <v>356</v>
      </c>
      <c r="N74" s="21" t="s">
        <v>122</v>
      </c>
      <c r="O74" s="22">
        <v>2</v>
      </c>
      <c r="P74" s="16" t="s">
        <v>356</v>
      </c>
      <c r="Q74" s="21">
        <v>300</v>
      </c>
      <c r="R74" s="23">
        <v>1605</v>
      </c>
      <c r="S74" s="20" t="str" cm="1">
        <f t="array" ref="S74">IF(SUMPRODUCT((makaralar[MAKARA NO]=serim[[#This Row],[Makara Numarası]])*(makaralar[KALAN (mt)]&lt;0))&gt;0,
    "HATA VAR",
    "")</f>
        <v/>
      </c>
      <c r="T74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74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75" spans="1:21" hidden="1" x14ac:dyDescent="0.3">
      <c r="A75" s="13">
        <v>45964</v>
      </c>
      <c r="B75" s="14" t="s">
        <v>412</v>
      </c>
      <c r="C75" s="21" t="s">
        <v>119</v>
      </c>
      <c r="D75" s="21" t="s">
        <v>120</v>
      </c>
      <c r="E75" s="21" t="s">
        <v>120</v>
      </c>
      <c r="F75" s="21" t="s">
        <v>475</v>
      </c>
      <c r="G75" s="21" t="s">
        <v>92</v>
      </c>
      <c r="H75" s="21">
        <v>2000</v>
      </c>
      <c r="I75" s="21">
        <v>2000</v>
      </c>
      <c r="J75" s="21">
        <v>0</v>
      </c>
      <c r="K75" s="21" t="s">
        <v>359</v>
      </c>
      <c r="L75" s="21" t="s">
        <v>114</v>
      </c>
      <c r="M75" s="21" t="s">
        <v>121</v>
      </c>
      <c r="N75" s="21" t="s">
        <v>123</v>
      </c>
      <c r="O75" s="22">
        <v>1</v>
      </c>
      <c r="P75" s="16"/>
      <c r="Q75" s="21">
        <v>0</v>
      </c>
      <c r="R75" s="23">
        <v>2000</v>
      </c>
      <c r="S75" s="20" t="str" cm="1">
        <f t="array" ref="S75">IF(SUMPRODUCT((makaralar[MAKARA NO]=serim[[#This Row],[Makara Numarası]])*(makaralar[KALAN (mt)]&lt;0))&gt;0,
    "HATA VAR",
    "")</f>
        <v/>
      </c>
      <c r="T75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75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76" spans="1:21" x14ac:dyDescent="0.3">
      <c r="A76" s="13">
        <v>45964</v>
      </c>
      <c r="B76" s="14" t="s">
        <v>412</v>
      </c>
      <c r="C76" s="21" t="s">
        <v>124</v>
      </c>
      <c r="D76" s="21" t="s">
        <v>125</v>
      </c>
      <c r="E76" s="21" t="s">
        <v>115</v>
      </c>
      <c r="F76" s="21" t="s">
        <v>476</v>
      </c>
      <c r="G76" s="21" t="s">
        <v>83</v>
      </c>
      <c r="H76" s="21">
        <v>4060</v>
      </c>
      <c r="I76" s="21">
        <v>4060</v>
      </c>
      <c r="J76" s="21">
        <v>3372</v>
      </c>
      <c r="K76" s="21" t="s">
        <v>361</v>
      </c>
      <c r="L76" s="21" t="s">
        <v>126</v>
      </c>
      <c r="M76" s="21" t="s">
        <v>115</v>
      </c>
      <c r="N76" s="21" t="s">
        <v>117</v>
      </c>
      <c r="O76" s="22">
        <v>2</v>
      </c>
      <c r="P76" s="16"/>
      <c r="Q76" s="21">
        <v>3372</v>
      </c>
      <c r="R76" s="23">
        <v>688</v>
      </c>
      <c r="S76" s="20" t="str" cm="1">
        <f t="array" ref="S76">IF(SUMPRODUCT((makaralar[MAKARA NO]=serim[[#This Row],[Makara Numarası]])*(makaralar[KALAN (mt)]&lt;0))&gt;0,
    "HATA VAR",
    "")</f>
        <v/>
      </c>
      <c r="T76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76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77" spans="1:21" x14ac:dyDescent="0.3">
      <c r="A77" s="13">
        <v>45964</v>
      </c>
      <c r="B77" s="14" t="s">
        <v>412</v>
      </c>
      <c r="C77" s="21" t="s">
        <v>127</v>
      </c>
      <c r="D77" s="21" t="s">
        <v>115</v>
      </c>
      <c r="E77" s="21" t="s">
        <v>116</v>
      </c>
      <c r="F77" s="21" t="s">
        <v>476</v>
      </c>
      <c r="G77" s="21" t="s">
        <v>83</v>
      </c>
      <c r="H77" s="21">
        <v>3372</v>
      </c>
      <c r="I77" s="21">
        <v>3372</v>
      </c>
      <c r="J77" s="21">
        <v>2445</v>
      </c>
      <c r="K77" s="21" t="s">
        <v>115</v>
      </c>
      <c r="L77" s="21" t="s">
        <v>117</v>
      </c>
      <c r="M77" s="21" t="s">
        <v>116</v>
      </c>
      <c r="N77" s="21" t="s">
        <v>118</v>
      </c>
      <c r="O77" s="22">
        <v>2</v>
      </c>
      <c r="P77" s="16"/>
      <c r="Q77" s="21">
        <v>2445</v>
      </c>
      <c r="R77" s="23">
        <v>927</v>
      </c>
      <c r="S77" s="20" t="str" cm="1">
        <f t="array" ref="S77">IF(SUMPRODUCT((makaralar[MAKARA NO]=serim[[#This Row],[Makara Numarası]])*(makaralar[KALAN (mt)]&lt;0))&gt;0,
    "HATA VAR",
    "")</f>
        <v/>
      </c>
      <c r="T77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77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78" spans="1:21" hidden="1" x14ac:dyDescent="0.3">
      <c r="A78" s="13">
        <v>45964</v>
      </c>
      <c r="B78" s="14" t="s">
        <v>412</v>
      </c>
      <c r="C78" s="21" t="s">
        <v>132</v>
      </c>
      <c r="D78" s="21" t="s">
        <v>133</v>
      </c>
      <c r="E78" s="21" t="s">
        <v>134</v>
      </c>
      <c r="F78" s="21" t="s">
        <v>476</v>
      </c>
      <c r="G78" s="21" t="s">
        <v>83</v>
      </c>
      <c r="H78" s="21">
        <v>1010</v>
      </c>
      <c r="I78" s="21">
        <v>1010</v>
      </c>
      <c r="J78" s="21">
        <v>630</v>
      </c>
      <c r="K78" s="21" t="s">
        <v>133</v>
      </c>
      <c r="L78" s="21" t="s">
        <v>135</v>
      </c>
      <c r="M78" s="21" t="s">
        <v>134</v>
      </c>
      <c r="N78" s="21" t="s">
        <v>114</v>
      </c>
      <c r="O78" s="22">
        <v>1</v>
      </c>
      <c r="P78" s="16"/>
      <c r="Q78" s="21">
        <v>630</v>
      </c>
      <c r="R78" s="23">
        <v>380</v>
      </c>
      <c r="S78" s="20" t="str" cm="1">
        <f t="array" ref="S78">IF(SUMPRODUCT((makaralar[MAKARA NO]=serim[[#This Row],[Makara Numarası]])*(makaralar[KALAN (mt)]&lt;0))&gt;0,
    "HATA VAR",
    "")</f>
        <v/>
      </c>
      <c r="T78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78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79" spans="1:21" hidden="1" x14ac:dyDescent="0.3">
      <c r="A79" s="13">
        <v>45965</v>
      </c>
      <c r="B79" s="14" t="s">
        <v>412</v>
      </c>
      <c r="C79" s="21" t="s">
        <v>399</v>
      </c>
      <c r="D79" s="21" t="s">
        <v>134</v>
      </c>
      <c r="E79" s="21" t="s">
        <v>400</v>
      </c>
      <c r="F79" s="21" t="s">
        <v>397</v>
      </c>
      <c r="G79" s="21" t="s">
        <v>67</v>
      </c>
      <c r="H79" s="21">
        <v>95</v>
      </c>
      <c r="I79" s="21">
        <v>95</v>
      </c>
      <c r="J79" s="21">
        <v>0</v>
      </c>
      <c r="K79" s="21" t="s">
        <v>134</v>
      </c>
      <c r="L79" s="21" t="s">
        <v>135</v>
      </c>
      <c r="M79" s="21" t="s">
        <v>400</v>
      </c>
      <c r="N79" s="21" t="s">
        <v>401</v>
      </c>
      <c r="O79" s="22">
        <v>1</v>
      </c>
      <c r="P79" s="16"/>
      <c r="Q79" s="21">
        <v>0</v>
      </c>
      <c r="R79" s="23">
        <v>95</v>
      </c>
      <c r="S79" s="20" t="str" cm="1">
        <f t="array" ref="S79">IF(SUMPRODUCT((makaralar[MAKARA NO]=serim[[#This Row],[Makara Numarası]])*(makaralar[KALAN (mt)]&lt;0))&gt;0,
    "HATA VAR",
    "")</f>
        <v/>
      </c>
      <c r="T79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79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80" spans="1:21" hidden="1" x14ac:dyDescent="0.3">
      <c r="A80" s="13">
        <v>45966</v>
      </c>
      <c r="B80" s="14" t="s">
        <v>412</v>
      </c>
      <c r="C80" s="21" t="s">
        <v>402</v>
      </c>
      <c r="D80" s="21" t="s">
        <v>396</v>
      </c>
      <c r="E80" s="21" t="s">
        <v>400</v>
      </c>
      <c r="F80" s="21" t="s">
        <v>397</v>
      </c>
      <c r="G80" s="21" t="s">
        <v>68</v>
      </c>
      <c r="H80" s="21">
        <v>1150</v>
      </c>
      <c r="I80" s="21">
        <v>1150</v>
      </c>
      <c r="J80" s="21">
        <v>870</v>
      </c>
      <c r="K80" s="21" t="s">
        <v>396</v>
      </c>
      <c r="L80" s="21" t="s">
        <v>398</v>
      </c>
      <c r="M80" s="21" t="s">
        <v>400</v>
      </c>
      <c r="N80" s="21" t="s">
        <v>401</v>
      </c>
      <c r="O80" s="22">
        <v>1</v>
      </c>
      <c r="P80" s="16"/>
      <c r="Q80" s="21">
        <v>870</v>
      </c>
      <c r="R80" s="23">
        <v>280</v>
      </c>
      <c r="S80" s="20" t="str" cm="1">
        <f t="array" ref="S80">IF(SUMPRODUCT((makaralar[MAKARA NO]=serim[[#This Row],[Makara Numarası]])*(makaralar[KALAN (mt)]&lt;0))&gt;0,
    "HATA VAR",
    "")</f>
        <v/>
      </c>
      <c r="T80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80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81" spans="1:21" hidden="1" x14ac:dyDescent="0.3">
      <c r="A81" s="13">
        <v>45965</v>
      </c>
      <c r="B81" s="14" t="s">
        <v>412</v>
      </c>
      <c r="C81" s="21" t="s">
        <v>395</v>
      </c>
      <c r="D81" s="21" t="s">
        <v>130</v>
      </c>
      <c r="E81" s="21" t="s">
        <v>396</v>
      </c>
      <c r="F81" s="21" t="s">
        <v>397</v>
      </c>
      <c r="G81" s="21" t="s">
        <v>67</v>
      </c>
      <c r="H81" s="21">
        <v>210</v>
      </c>
      <c r="I81" s="21">
        <v>210</v>
      </c>
      <c r="J81" s="21">
        <v>95</v>
      </c>
      <c r="K81" s="16" t="s">
        <v>130</v>
      </c>
      <c r="L81" s="16" t="s">
        <v>131</v>
      </c>
      <c r="M81" s="21" t="s">
        <v>396</v>
      </c>
      <c r="N81" s="21" t="s">
        <v>398</v>
      </c>
      <c r="O81" s="22">
        <v>1</v>
      </c>
      <c r="P81" s="16"/>
      <c r="Q81" s="21">
        <v>95</v>
      </c>
      <c r="R81" s="23">
        <v>115</v>
      </c>
      <c r="S81" s="20" t="str" cm="1">
        <f t="array" ref="S81">IF(SUMPRODUCT((makaralar[MAKARA NO]=serim[[#This Row],[Makara Numarası]])*(makaralar[KALAN (mt)]&lt;0))&gt;0,
    "HATA VAR",
    "")</f>
        <v/>
      </c>
      <c r="T81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81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82" spans="1:21" hidden="1" x14ac:dyDescent="0.3">
      <c r="A82" s="13">
        <v>45969</v>
      </c>
      <c r="B82" s="14" t="s">
        <v>412</v>
      </c>
      <c r="C82" s="21" t="s">
        <v>408</v>
      </c>
      <c r="D82" s="21" t="s">
        <v>409</v>
      </c>
      <c r="E82" s="21" t="s">
        <v>410</v>
      </c>
      <c r="F82" s="21" t="s">
        <v>476</v>
      </c>
      <c r="G82" s="21" t="s">
        <v>86</v>
      </c>
      <c r="H82" s="21">
        <v>4096</v>
      </c>
      <c r="I82" s="21">
        <v>4096</v>
      </c>
      <c r="J82" s="21">
        <v>3005</v>
      </c>
      <c r="K82" s="21" t="s">
        <v>356</v>
      </c>
      <c r="L82" s="21" t="s">
        <v>122</v>
      </c>
      <c r="M82" s="21" t="s">
        <v>409</v>
      </c>
      <c r="N82" s="21" t="s">
        <v>411</v>
      </c>
      <c r="O82" s="22">
        <v>1</v>
      </c>
      <c r="P82" s="16"/>
      <c r="Q82" s="21">
        <v>3005</v>
      </c>
      <c r="R82" s="23">
        <v>1091</v>
      </c>
      <c r="S82" s="20" t="str" cm="1">
        <f t="array" ref="S82">IF(SUMPRODUCT((makaralar[MAKARA NO]=serim[[#This Row],[Makara Numarası]])*(makaralar[KALAN (mt)]&lt;0))&gt;0,
    "HATA VAR",
    "")</f>
        <v/>
      </c>
      <c r="T82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82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83" spans="1:21" hidden="1" x14ac:dyDescent="0.3">
      <c r="A83" s="13">
        <v>45966</v>
      </c>
      <c r="B83" s="14" t="s">
        <v>412</v>
      </c>
      <c r="C83" s="21" t="s">
        <v>119</v>
      </c>
      <c r="D83" s="21" t="s">
        <v>120</v>
      </c>
      <c r="E83" s="21" t="s">
        <v>120</v>
      </c>
      <c r="F83" s="15" t="s">
        <v>403</v>
      </c>
      <c r="G83" s="21" t="s">
        <v>63</v>
      </c>
      <c r="H83" s="21">
        <v>380</v>
      </c>
      <c r="I83" s="21">
        <v>380</v>
      </c>
      <c r="J83" s="21">
        <v>0</v>
      </c>
      <c r="K83" s="21" t="s">
        <v>120</v>
      </c>
      <c r="L83" s="21" t="s">
        <v>122</v>
      </c>
      <c r="M83" s="21" t="s">
        <v>120</v>
      </c>
      <c r="N83" s="21" t="s">
        <v>123</v>
      </c>
      <c r="O83" s="22">
        <v>2</v>
      </c>
      <c r="P83" s="16"/>
      <c r="Q83" s="21">
        <v>0</v>
      </c>
      <c r="R83" s="23">
        <v>380</v>
      </c>
      <c r="S83" s="20" t="str" cm="1">
        <f t="array" ref="S83">IF(SUMPRODUCT((makaralar[MAKARA NO]=serim[[#This Row],[Makara Numarası]])*(makaralar[KALAN (mt)]&lt;0))&gt;0,
    "HATA VAR",
    "")</f>
        <v/>
      </c>
      <c r="T83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83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84" spans="1:21" x14ac:dyDescent="0.3">
      <c r="A84" s="13">
        <v>45966</v>
      </c>
      <c r="B84" s="14" t="s">
        <v>412</v>
      </c>
      <c r="C84" s="21" t="s">
        <v>404</v>
      </c>
      <c r="D84" s="21" t="s">
        <v>116</v>
      </c>
      <c r="E84" s="21" t="s">
        <v>116</v>
      </c>
      <c r="F84" s="21" t="s">
        <v>397</v>
      </c>
      <c r="G84" s="21" t="s">
        <v>68</v>
      </c>
      <c r="H84" s="21">
        <v>870</v>
      </c>
      <c r="I84" s="21">
        <v>870</v>
      </c>
      <c r="J84" s="21">
        <v>735</v>
      </c>
      <c r="K84" s="21" t="s">
        <v>116</v>
      </c>
      <c r="L84" s="21" t="s">
        <v>118</v>
      </c>
      <c r="M84" s="21" t="s">
        <v>116</v>
      </c>
      <c r="N84" s="21" t="s">
        <v>405</v>
      </c>
      <c r="O84" s="22">
        <v>2</v>
      </c>
      <c r="P84" s="16"/>
      <c r="Q84" s="21">
        <v>735</v>
      </c>
      <c r="R84" s="23">
        <v>135</v>
      </c>
      <c r="S84" s="20" t="str" cm="1">
        <f t="array" ref="S84">IF(SUMPRODUCT((makaralar[MAKARA NO]=serim[[#This Row],[Makara Numarası]])*(makaralar[KALAN (mt)]&lt;0))&gt;0,
    "HATA VAR",
    "")</f>
        <v/>
      </c>
      <c r="T84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84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85" spans="1:21" x14ac:dyDescent="0.3">
      <c r="A85" s="13">
        <v>45966</v>
      </c>
      <c r="B85" s="14" t="s">
        <v>412</v>
      </c>
      <c r="C85" s="21" t="s">
        <v>406</v>
      </c>
      <c r="D85" s="21" t="s">
        <v>407</v>
      </c>
      <c r="E85" s="21" t="s">
        <v>407</v>
      </c>
      <c r="F85" s="21" t="s">
        <v>397</v>
      </c>
      <c r="G85" s="21" t="s">
        <v>68</v>
      </c>
      <c r="H85" s="21">
        <v>735</v>
      </c>
      <c r="I85" s="21">
        <v>735</v>
      </c>
      <c r="J85" s="21">
        <v>450</v>
      </c>
      <c r="K85" s="21" t="s">
        <v>407</v>
      </c>
      <c r="L85" s="21" t="s">
        <v>405</v>
      </c>
      <c r="M85" s="21" t="s">
        <v>407</v>
      </c>
      <c r="N85" s="21" t="s">
        <v>123</v>
      </c>
      <c r="O85" s="22">
        <v>2</v>
      </c>
      <c r="P85" s="16"/>
      <c r="Q85" s="21">
        <v>450</v>
      </c>
      <c r="R85" s="23">
        <v>285</v>
      </c>
      <c r="S85" s="20" t="str" cm="1">
        <f t="array" ref="S85">IF(SUMPRODUCT((makaralar[MAKARA NO]=serim[[#This Row],[Makara Numarası]])*(makaralar[KALAN (mt)]&lt;0))&gt;0,
    "HATA VAR",
    "")</f>
        <v/>
      </c>
      <c r="T85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85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86" spans="1:21" hidden="1" x14ac:dyDescent="0.3">
      <c r="A86" s="13">
        <v>45964</v>
      </c>
      <c r="B86" s="14" t="s">
        <v>412</v>
      </c>
      <c r="C86" s="21" t="s">
        <v>128</v>
      </c>
      <c r="D86" s="21" t="s">
        <v>129</v>
      </c>
      <c r="E86" s="21" t="s">
        <v>130</v>
      </c>
      <c r="F86" s="21" t="s">
        <v>476</v>
      </c>
      <c r="G86" s="21" t="s">
        <v>83</v>
      </c>
      <c r="H86" s="21">
        <v>2445</v>
      </c>
      <c r="I86" s="21">
        <v>2445</v>
      </c>
      <c r="J86" s="21">
        <v>1010</v>
      </c>
      <c r="K86" s="21" t="s">
        <v>121</v>
      </c>
      <c r="L86" s="21" t="s">
        <v>123</v>
      </c>
      <c r="M86" s="21" t="s">
        <v>130</v>
      </c>
      <c r="N86" s="21" t="s">
        <v>131</v>
      </c>
      <c r="O86" s="22">
        <v>1</v>
      </c>
      <c r="P86" s="16"/>
      <c r="Q86" s="21">
        <v>1010</v>
      </c>
      <c r="R86" s="23">
        <v>1435</v>
      </c>
      <c r="S86" s="20" t="str" cm="1">
        <f t="array" ref="S86">IF(SUMPRODUCT((makaralar[MAKARA NO]=serim[[#This Row],[Makara Numarası]])*(makaralar[KALAN (mt)]&lt;0))&gt;0,
    "HATA VAR",
    "")</f>
        <v/>
      </c>
      <c r="T86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86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87" spans="1:21" hidden="1" x14ac:dyDescent="0.3">
      <c r="A87" s="13">
        <v>45969</v>
      </c>
      <c r="B87" s="14" t="s">
        <v>412</v>
      </c>
      <c r="C87" s="21" t="s">
        <v>408</v>
      </c>
      <c r="D87" s="21" t="s">
        <v>409</v>
      </c>
      <c r="E87" s="21" t="s">
        <v>410</v>
      </c>
      <c r="F87" s="21" t="s">
        <v>397</v>
      </c>
      <c r="G87" s="21" t="s">
        <v>68</v>
      </c>
      <c r="H87" s="21">
        <v>450</v>
      </c>
      <c r="I87" s="21">
        <v>450</v>
      </c>
      <c r="J87" s="21">
        <v>0</v>
      </c>
      <c r="K87" s="21" t="s">
        <v>410</v>
      </c>
      <c r="L87" s="21" t="s">
        <v>123</v>
      </c>
      <c r="M87" s="21" t="s">
        <v>356</v>
      </c>
      <c r="N87" s="21" t="s">
        <v>122</v>
      </c>
      <c r="O87" s="22">
        <v>1</v>
      </c>
      <c r="P87" s="16" t="s">
        <v>356</v>
      </c>
      <c r="Q87" s="21">
        <v>0</v>
      </c>
      <c r="R87" s="23">
        <v>450</v>
      </c>
      <c r="S87" s="20" t="str" cm="1">
        <f t="array" ref="S87">IF(SUMPRODUCT((makaralar[MAKARA NO]=serim[[#This Row],[Makara Numarası]])*(makaralar[KALAN (mt)]&lt;0))&gt;0,
    "HATA VAR",
    "")</f>
        <v/>
      </c>
      <c r="T87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87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88" spans="1:21" x14ac:dyDescent="0.3">
      <c r="A88" s="14">
        <v>45972</v>
      </c>
      <c r="B88" s="14" t="s">
        <v>412</v>
      </c>
      <c r="C88" s="21" t="s">
        <v>413</v>
      </c>
      <c r="D88" s="21" t="s">
        <v>414</v>
      </c>
      <c r="E88" s="21" t="s">
        <v>415</v>
      </c>
      <c r="F88" s="21" t="s">
        <v>397</v>
      </c>
      <c r="G88" s="21" t="s">
        <v>71</v>
      </c>
      <c r="H88" s="21">
        <v>1105</v>
      </c>
      <c r="I88" s="21">
        <v>1105</v>
      </c>
      <c r="J88" s="21">
        <v>800</v>
      </c>
      <c r="K88" s="21" t="s">
        <v>414</v>
      </c>
      <c r="L88" s="21" t="s">
        <v>416</v>
      </c>
      <c r="M88" s="21" t="s">
        <v>415</v>
      </c>
      <c r="N88" s="21" t="s">
        <v>417</v>
      </c>
      <c r="O88" s="22">
        <v>2</v>
      </c>
      <c r="P88" s="16"/>
      <c r="Q88" s="21">
        <v>800</v>
      </c>
      <c r="R88" s="23">
        <v>305</v>
      </c>
      <c r="S88" s="20" t="str" cm="1">
        <f t="array" ref="S88">IF(SUMPRODUCT((makaralar[MAKARA NO]=serim[[#This Row],[Makara Numarası]])*(makaralar[KALAN (mt)]&lt;0))&gt;0,
    "HATA VAR",
    "")</f>
        <v/>
      </c>
      <c r="T88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88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89" spans="1:21" hidden="1" x14ac:dyDescent="0.3">
      <c r="A89" s="14">
        <v>45974</v>
      </c>
      <c r="B89" s="14" t="s">
        <v>412</v>
      </c>
      <c r="C89" s="21" t="s">
        <v>465</v>
      </c>
      <c r="D89" s="21" t="s">
        <v>414</v>
      </c>
      <c r="E89" s="21" t="s">
        <v>458</v>
      </c>
      <c r="F89" s="21" t="s">
        <v>397</v>
      </c>
      <c r="G89" s="21" t="s">
        <v>71</v>
      </c>
      <c r="H89" s="21">
        <v>240</v>
      </c>
      <c r="I89" s="21">
        <v>240</v>
      </c>
      <c r="J89" s="21">
        <v>60</v>
      </c>
      <c r="K89" s="21" t="s">
        <v>414</v>
      </c>
      <c r="L89" s="21" t="s">
        <v>466</v>
      </c>
      <c r="M89" s="21" t="s">
        <v>121</v>
      </c>
      <c r="N89" s="21" t="s">
        <v>123</v>
      </c>
      <c r="O89" s="26">
        <v>1</v>
      </c>
      <c r="P89" s="16"/>
      <c r="Q89" s="21">
        <v>60</v>
      </c>
      <c r="R89" s="23">
        <v>180</v>
      </c>
      <c r="S89" s="20" t="str" cm="1">
        <f t="array" ref="S89">IF(SUMPRODUCT((makaralar[MAKARA NO]=serim[[#This Row],[Makara Numarası]])*(makaralar[KALAN (mt)]&lt;0))&gt;0,
    "HATA VAR",
    "")</f>
        <v/>
      </c>
      <c r="T89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89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90" spans="1:21" hidden="1" x14ac:dyDescent="0.3">
      <c r="A90" s="14">
        <v>45972</v>
      </c>
      <c r="B90" s="14" t="s">
        <v>412</v>
      </c>
      <c r="C90" s="21" t="s">
        <v>418</v>
      </c>
      <c r="D90" s="21" t="s">
        <v>419</v>
      </c>
      <c r="E90" s="21" t="s">
        <v>420</v>
      </c>
      <c r="F90" s="21" t="s">
        <v>397</v>
      </c>
      <c r="G90" s="21" t="s">
        <v>71</v>
      </c>
      <c r="H90" s="21">
        <v>800</v>
      </c>
      <c r="I90" s="21">
        <v>800</v>
      </c>
      <c r="J90" s="21">
        <v>240</v>
      </c>
      <c r="K90" s="21" t="s">
        <v>419</v>
      </c>
      <c r="L90" s="21" t="s">
        <v>421</v>
      </c>
      <c r="M90" s="21" t="s">
        <v>420</v>
      </c>
      <c r="N90" s="21" t="s">
        <v>422</v>
      </c>
      <c r="O90" s="22">
        <v>1</v>
      </c>
      <c r="P90" s="16"/>
      <c r="Q90" s="21">
        <v>240</v>
      </c>
      <c r="R90" s="23">
        <v>560</v>
      </c>
      <c r="S90" s="20" t="str" cm="1">
        <f t="array" ref="S90">IF(SUMPRODUCT((makaralar[MAKARA NO]=serim[[#This Row],[Makara Numarası]])*(makaralar[KALAN (mt)]&lt;0))&gt;0,
    "HATA VAR",
    "")</f>
        <v/>
      </c>
      <c r="T90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90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91" spans="1:21" hidden="1" x14ac:dyDescent="0.3">
      <c r="A91" s="24">
        <v>45973</v>
      </c>
      <c r="B91" s="14" t="s">
        <v>412</v>
      </c>
      <c r="C91" s="25" t="s">
        <v>426</v>
      </c>
      <c r="D91" s="25" t="s">
        <v>129</v>
      </c>
      <c r="E91" s="25" t="s">
        <v>427</v>
      </c>
      <c r="F91" s="25" t="s">
        <v>403</v>
      </c>
      <c r="G91" s="25" t="s">
        <v>428</v>
      </c>
      <c r="H91" s="25">
        <v>2021</v>
      </c>
      <c r="I91" s="25">
        <v>2021</v>
      </c>
      <c r="J91" s="25">
        <v>1000</v>
      </c>
      <c r="K91" s="25" t="s">
        <v>129</v>
      </c>
      <c r="L91" s="25" t="s">
        <v>429</v>
      </c>
      <c r="M91" s="25" t="s">
        <v>427</v>
      </c>
      <c r="N91" s="25" t="s">
        <v>430</v>
      </c>
      <c r="O91" s="26">
        <v>1</v>
      </c>
      <c r="P91" s="16"/>
      <c r="Q91" s="25">
        <v>1000</v>
      </c>
      <c r="R91" s="27">
        <v>1021</v>
      </c>
      <c r="S91" s="20" t="str" cm="1">
        <f t="array" ref="S91">IF(SUMPRODUCT((makaralar[MAKARA NO]=serim[[#This Row],[Makara Numarası]])*(makaralar[KALAN (mt)]&lt;0))&gt;0,
    "HATA VAR",
    "")</f>
        <v/>
      </c>
      <c r="T91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>HATA VAR</v>
      </c>
      <c r="U91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>HATA VAR</v>
      </c>
    </row>
    <row r="92" spans="1:21" hidden="1" x14ac:dyDescent="0.3">
      <c r="A92" s="24">
        <v>45973</v>
      </c>
      <c r="B92" s="14" t="s">
        <v>412</v>
      </c>
      <c r="C92" s="25" t="s">
        <v>426</v>
      </c>
      <c r="D92" s="25" t="s">
        <v>129</v>
      </c>
      <c r="E92" s="25" t="s">
        <v>427</v>
      </c>
      <c r="F92" s="25" t="s">
        <v>403</v>
      </c>
      <c r="G92" s="25" t="s">
        <v>445</v>
      </c>
      <c r="H92" s="25">
        <v>2023</v>
      </c>
      <c r="I92" s="25">
        <v>2023</v>
      </c>
      <c r="J92" s="25">
        <v>0</v>
      </c>
      <c r="K92" s="25" t="s">
        <v>129</v>
      </c>
      <c r="L92" s="25" t="s">
        <v>446</v>
      </c>
      <c r="M92" s="21" t="s">
        <v>458</v>
      </c>
      <c r="N92" s="21" t="s">
        <v>473</v>
      </c>
      <c r="O92" s="26">
        <v>1</v>
      </c>
      <c r="P92" s="16" t="s">
        <v>473</v>
      </c>
      <c r="Q92" s="25">
        <v>0</v>
      </c>
      <c r="R92" s="27">
        <v>2023</v>
      </c>
      <c r="S92" s="20" t="str" cm="1">
        <f t="array" ref="S92">IF(SUMPRODUCT((makaralar[MAKARA NO]=serim[[#This Row],[Makara Numarası]])*(makaralar[KALAN (mt)]&lt;0))&gt;0,
    "HATA VAR",
    "")</f>
        <v/>
      </c>
      <c r="T92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>HATA VAR</v>
      </c>
      <c r="U92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>HATA VAR</v>
      </c>
    </row>
    <row r="93" spans="1:21" hidden="1" x14ac:dyDescent="0.3">
      <c r="A93" s="24">
        <v>45973</v>
      </c>
      <c r="B93" s="14" t="s">
        <v>412</v>
      </c>
      <c r="C93" s="25" t="s">
        <v>426</v>
      </c>
      <c r="D93" s="25" t="s">
        <v>129</v>
      </c>
      <c r="E93" s="25" t="s">
        <v>427</v>
      </c>
      <c r="F93" s="25" t="s">
        <v>403</v>
      </c>
      <c r="G93" s="25" t="s">
        <v>59</v>
      </c>
      <c r="H93" s="25">
        <v>1945</v>
      </c>
      <c r="I93" s="25">
        <v>1945</v>
      </c>
      <c r="J93" s="25">
        <v>0</v>
      </c>
      <c r="K93" s="25" t="s">
        <v>129</v>
      </c>
      <c r="L93" s="25" t="s">
        <v>431</v>
      </c>
      <c r="M93" s="25" t="s">
        <v>427</v>
      </c>
      <c r="N93" s="21" t="s">
        <v>471</v>
      </c>
      <c r="O93" s="26">
        <v>2</v>
      </c>
      <c r="P93" s="16" t="s">
        <v>471</v>
      </c>
      <c r="Q93" s="25">
        <v>0</v>
      </c>
      <c r="R93" s="27">
        <v>1945</v>
      </c>
      <c r="S93" s="20" t="str" cm="1">
        <f t="array" ref="S93">IF(SUMPRODUCT((makaralar[MAKARA NO]=serim[[#This Row],[Makara Numarası]])*(makaralar[KALAN (mt)]&lt;0))&gt;0,
    "HATA VAR",
    "")</f>
        <v/>
      </c>
      <c r="T93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93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94" spans="1:21" hidden="1" x14ac:dyDescent="0.3">
      <c r="A94" s="24">
        <v>45973</v>
      </c>
      <c r="B94" s="14" t="s">
        <v>412</v>
      </c>
      <c r="C94" s="25" t="s">
        <v>453</v>
      </c>
      <c r="D94" s="25" t="s">
        <v>454</v>
      </c>
      <c r="E94" s="25"/>
      <c r="F94" s="25" t="s">
        <v>397</v>
      </c>
      <c r="G94" s="25" t="s">
        <v>51</v>
      </c>
      <c r="H94" s="25">
        <v>577</v>
      </c>
      <c r="I94" s="25">
        <v>577</v>
      </c>
      <c r="J94" s="25">
        <v>110</v>
      </c>
      <c r="K94" s="25" t="s">
        <v>454</v>
      </c>
      <c r="L94" s="25" t="s">
        <v>455</v>
      </c>
      <c r="M94" s="25">
        <v>0</v>
      </c>
      <c r="N94" s="25" t="s">
        <v>456</v>
      </c>
      <c r="O94" s="26">
        <v>1</v>
      </c>
      <c r="P94" s="28"/>
      <c r="Q94" s="25">
        <v>110</v>
      </c>
      <c r="R94" s="27">
        <v>467</v>
      </c>
      <c r="S94" s="20" t="str" cm="1">
        <f t="array" ref="S94">IF(SUMPRODUCT((makaralar[MAKARA NO]=serim[[#This Row],[Makara Numarası]])*(makaralar[KALAN (mt)]&lt;0))&gt;0,
    "HATA VAR",
    "")</f>
        <v/>
      </c>
      <c r="T94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94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95" spans="1:21" hidden="1" x14ac:dyDescent="0.3">
      <c r="A95" s="14">
        <v>45972</v>
      </c>
      <c r="B95" s="14" t="s">
        <v>412</v>
      </c>
      <c r="C95" s="21" t="s">
        <v>423</v>
      </c>
      <c r="D95" s="21" t="s">
        <v>420</v>
      </c>
      <c r="E95" s="21" t="s">
        <v>424</v>
      </c>
      <c r="F95" s="21" t="s">
        <v>397</v>
      </c>
      <c r="G95" s="21" t="s">
        <v>69</v>
      </c>
      <c r="H95" s="21">
        <v>4100</v>
      </c>
      <c r="I95" s="21">
        <v>4100</v>
      </c>
      <c r="J95" s="21">
        <v>2870</v>
      </c>
      <c r="K95" s="21" t="s">
        <v>420</v>
      </c>
      <c r="L95" s="21" t="s">
        <v>422</v>
      </c>
      <c r="M95" s="21" t="s">
        <v>424</v>
      </c>
      <c r="N95" s="21" t="s">
        <v>425</v>
      </c>
      <c r="O95" s="22">
        <v>1</v>
      </c>
      <c r="P95" s="16" t="s">
        <v>460</v>
      </c>
      <c r="Q95" s="21">
        <v>2870</v>
      </c>
      <c r="R95" s="23">
        <v>1230</v>
      </c>
      <c r="S95" s="20" t="str" cm="1">
        <f t="array" ref="S95">IF(SUMPRODUCT((makaralar[MAKARA NO]=serim[[#This Row],[Makara Numarası]])*(makaralar[KALAN (mt)]&lt;0))&gt;0,
    "HATA VAR",
    "")</f>
        <v/>
      </c>
      <c r="T95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95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96" spans="1:21" hidden="1" x14ac:dyDescent="0.3">
      <c r="A96" s="24">
        <v>45973</v>
      </c>
      <c r="B96" s="14" t="s">
        <v>412</v>
      </c>
      <c r="C96" s="25" t="s">
        <v>437</v>
      </c>
      <c r="D96" s="25" t="s">
        <v>424</v>
      </c>
      <c r="E96" s="25" t="s">
        <v>433</v>
      </c>
      <c r="F96" s="25" t="s">
        <v>397</v>
      </c>
      <c r="G96" s="25" t="s">
        <v>69</v>
      </c>
      <c r="H96" s="25">
        <v>2343</v>
      </c>
      <c r="I96" s="25">
        <v>2343</v>
      </c>
      <c r="J96" s="25">
        <v>523</v>
      </c>
      <c r="K96" s="25" t="s">
        <v>424</v>
      </c>
      <c r="L96" s="25" t="s">
        <v>425</v>
      </c>
      <c r="M96" s="25" t="s">
        <v>433</v>
      </c>
      <c r="N96" s="25" t="s">
        <v>435</v>
      </c>
      <c r="O96" s="26">
        <v>1</v>
      </c>
      <c r="P96" s="28"/>
      <c r="Q96" s="25">
        <v>523</v>
      </c>
      <c r="R96" s="27">
        <v>1820</v>
      </c>
      <c r="S96" s="20" t="str" cm="1">
        <f t="array" ref="S96">IF(SUMPRODUCT((makaralar[MAKARA NO]=serim[[#This Row],[Makara Numarası]])*(makaralar[KALAN (mt)]&lt;0))&gt;0,
    "HATA VAR",
    "")</f>
        <v/>
      </c>
      <c r="T96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96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97" spans="1:21" hidden="1" x14ac:dyDescent="0.3">
      <c r="A97" s="24">
        <v>45973</v>
      </c>
      <c r="B97" s="14" t="s">
        <v>412</v>
      </c>
      <c r="C97" s="25" t="s">
        <v>432</v>
      </c>
      <c r="D97" s="25" t="s">
        <v>433</v>
      </c>
      <c r="E97" s="25" t="s">
        <v>434</v>
      </c>
      <c r="F97" s="25" t="s">
        <v>397</v>
      </c>
      <c r="G97" s="25" t="s">
        <v>69</v>
      </c>
      <c r="H97" s="25">
        <v>2870</v>
      </c>
      <c r="I97" s="25">
        <v>2870</v>
      </c>
      <c r="J97" s="25">
        <v>2343</v>
      </c>
      <c r="K97" s="25" t="s">
        <v>433</v>
      </c>
      <c r="L97" s="25" t="s">
        <v>435</v>
      </c>
      <c r="M97" s="25" t="s">
        <v>434</v>
      </c>
      <c r="N97" s="25" t="s">
        <v>436</v>
      </c>
      <c r="O97" s="26">
        <v>1</v>
      </c>
      <c r="P97" s="28"/>
      <c r="Q97" s="25">
        <v>2343</v>
      </c>
      <c r="R97" s="27">
        <v>527</v>
      </c>
      <c r="S97" s="20" t="str" cm="1">
        <f t="array" ref="S97">IF(SUMPRODUCT((makaralar[MAKARA NO]=serim[[#This Row],[Makara Numarası]])*(makaralar[KALAN (mt)]&lt;0))&gt;0,
    "HATA VAR",
    "")</f>
        <v/>
      </c>
      <c r="T97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97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98" spans="1:21" hidden="1" x14ac:dyDescent="0.3">
      <c r="A98" s="24">
        <v>45973</v>
      </c>
      <c r="B98" s="14" t="s">
        <v>412</v>
      </c>
      <c r="C98" s="25" t="s">
        <v>426</v>
      </c>
      <c r="D98" s="25" t="s">
        <v>129</v>
      </c>
      <c r="E98" s="25" t="s">
        <v>427</v>
      </c>
      <c r="F98" s="25" t="s">
        <v>403</v>
      </c>
      <c r="G98" s="25" t="s">
        <v>52</v>
      </c>
      <c r="H98" s="25">
        <v>2019</v>
      </c>
      <c r="I98" s="25">
        <v>2019</v>
      </c>
      <c r="J98" s="25">
        <v>0</v>
      </c>
      <c r="K98" s="25" t="s">
        <v>129</v>
      </c>
      <c r="L98" s="25" t="s">
        <v>444</v>
      </c>
      <c r="M98" s="21" t="s">
        <v>458</v>
      </c>
      <c r="N98" s="21" t="s">
        <v>472</v>
      </c>
      <c r="O98" s="26">
        <v>2</v>
      </c>
      <c r="P98" s="16" t="s">
        <v>472</v>
      </c>
      <c r="Q98" s="25">
        <v>0</v>
      </c>
      <c r="R98" s="27">
        <v>2019</v>
      </c>
      <c r="S98" s="20" t="str" cm="1">
        <f t="array" ref="S98">IF(SUMPRODUCT((makaralar[MAKARA NO]=serim[[#This Row],[Makara Numarası]])*(makaralar[KALAN (mt)]&lt;0))&gt;0,
    "HATA VAR",
    "")</f>
        <v/>
      </c>
      <c r="T98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98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99" spans="1:21" hidden="1" x14ac:dyDescent="0.3">
      <c r="A99" s="24">
        <v>45973</v>
      </c>
      <c r="B99" s="14" t="s">
        <v>412</v>
      </c>
      <c r="C99" s="25" t="s">
        <v>426</v>
      </c>
      <c r="D99" s="25" t="s">
        <v>129</v>
      </c>
      <c r="E99" s="25" t="s">
        <v>427</v>
      </c>
      <c r="F99" s="25" t="s">
        <v>403</v>
      </c>
      <c r="G99" s="25" t="s">
        <v>54</v>
      </c>
      <c r="H99" s="25">
        <v>2024</v>
      </c>
      <c r="I99" s="25">
        <v>2024</v>
      </c>
      <c r="J99" s="25">
        <v>0</v>
      </c>
      <c r="K99" s="25" t="s">
        <v>129</v>
      </c>
      <c r="L99" s="25" t="s">
        <v>431</v>
      </c>
      <c r="M99" s="25" t="s">
        <v>427</v>
      </c>
      <c r="N99" s="21" t="s">
        <v>470</v>
      </c>
      <c r="O99" s="26">
        <v>1</v>
      </c>
      <c r="P99" s="16" t="s">
        <v>470</v>
      </c>
      <c r="Q99" s="25">
        <v>0</v>
      </c>
      <c r="R99" s="27">
        <v>2024</v>
      </c>
      <c r="S99" s="20" t="str" cm="1">
        <f t="array" ref="S99">IF(SUMPRODUCT((makaralar[MAKARA NO]=serim[[#This Row],[Makara Numarası]])*(makaralar[KALAN (mt)]&lt;0))&gt;0,
    "HATA VAR",
    "")</f>
        <v/>
      </c>
      <c r="T99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99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100" spans="1:21" x14ac:dyDescent="0.3">
      <c r="A100" s="24">
        <v>45973</v>
      </c>
      <c r="B100" s="14" t="s">
        <v>412</v>
      </c>
      <c r="C100" s="25" t="s">
        <v>447</v>
      </c>
      <c r="D100" s="25" t="s">
        <v>415</v>
      </c>
      <c r="E100" s="25" t="s">
        <v>448</v>
      </c>
      <c r="F100" s="25" t="s">
        <v>397</v>
      </c>
      <c r="G100" s="25" t="s">
        <v>51</v>
      </c>
      <c r="H100" s="25">
        <v>4115</v>
      </c>
      <c r="I100" s="25">
        <v>4115</v>
      </c>
      <c r="J100" s="25">
        <v>1180</v>
      </c>
      <c r="K100" s="25" t="s">
        <v>415</v>
      </c>
      <c r="L100" s="25" t="s">
        <v>417</v>
      </c>
      <c r="M100" s="25" t="s">
        <v>448</v>
      </c>
      <c r="N100" s="25" t="s">
        <v>449</v>
      </c>
      <c r="O100" s="26">
        <v>2</v>
      </c>
      <c r="P100" s="28"/>
      <c r="Q100" s="25">
        <v>1180</v>
      </c>
      <c r="R100" s="27">
        <v>2935</v>
      </c>
      <c r="S100" s="20" t="str" cm="1">
        <f t="array" ref="S100">IF(SUMPRODUCT((makaralar[MAKARA NO]=serim[[#This Row],[Makara Numarası]])*(makaralar[KALAN (mt)]&lt;0))&gt;0,
    "HATA VAR",
    "")</f>
        <v/>
      </c>
      <c r="T100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100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101" spans="1:21" x14ac:dyDescent="0.3">
      <c r="A101" s="24">
        <v>45973</v>
      </c>
      <c r="B101" s="14" t="s">
        <v>412</v>
      </c>
      <c r="C101" s="25" t="s">
        <v>450</v>
      </c>
      <c r="D101" s="25" t="s">
        <v>448</v>
      </c>
      <c r="E101" s="25" t="s">
        <v>451</v>
      </c>
      <c r="F101" s="25" t="s">
        <v>397</v>
      </c>
      <c r="G101" s="25" t="s">
        <v>51</v>
      </c>
      <c r="H101" s="25">
        <v>1180</v>
      </c>
      <c r="I101" s="25">
        <v>1180</v>
      </c>
      <c r="J101" s="25">
        <v>577</v>
      </c>
      <c r="K101" s="25" t="s">
        <v>448</v>
      </c>
      <c r="L101" s="25" t="s">
        <v>449</v>
      </c>
      <c r="M101" s="25" t="s">
        <v>451</v>
      </c>
      <c r="N101" s="25" t="s">
        <v>452</v>
      </c>
      <c r="O101" s="26">
        <v>2</v>
      </c>
      <c r="P101" s="28"/>
      <c r="Q101" s="25">
        <v>577</v>
      </c>
      <c r="R101" s="27">
        <v>603</v>
      </c>
      <c r="S101" s="20" t="str" cm="1">
        <f t="array" ref="S101">IF(SUMPRODUCT((makaralar[MAKARA NO]=serim[[#This Row],[Makara Numarası]])*(makaralar[KALAN (mt)]&lt;0))&gt;0,
    "HATA VAR",
    "")</f>
        <v/>
      </c>
      <c r="T101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101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102" spans="1:21" hidden="1" x14ac:dyDescent="0.3">
      <c r="A102" s="24">
        <v>45973</v>
      </c>
      <c r="B102" s="14" t="s">
        <v>412</v>
      </c>
      <c r="C102" s="25" t="s">
        <v>438</v>
      </c>
      <c r="D102" s="25" t="s">
        <v>434</v>
      </c>
      <c r="E102" s="25" t="s">
        <v>439</v>
      </c>
      <c r="F102" s="25" t="s">
        <v>397</v>
      </c>
      <c r="G102" s="25" t="s">
        <v>69</v>
      </c>
      <c r="H102" s="25">
        <v>523</v>
      </c>
      <c r="I102" s="25">
        <v>523</v>
      </c>
      <c r="J102" s="25">
        <v>150</v>
      </c>
      <c r="K102" s="25" t="s">
        <v>434</v>
      </c>
      <c r="L102" s="25" t="s">
        <v>436</v>
      </c>
      <c r="M102" s="25" t="s">
        <v>439</v>
      </c>
      <c r="N102" s="25" t="s">
        <v>440</v>
      </c>
      <c r="O102" s="26">
        <v>1</v>
      </c>
      <c r="P102" s="28"/>
      <c r="Q102" s="25">
        <v>150</v>
      </c>
      <c r="R102" s="27">
        <v>373</v>
      </c>
      <c r="S102" s="20" t="str" cm="1">
        <f t="array" ref="S102">IF(SUMPRODUCT((makaralar[MAKARA NO]=serim[[#This Row],[Makara Numarası]])*(makaralar[KALAN (mt)]&lt;0))&gt;0,
    "HATA VAR",
    "")</f>
        <v/>
      </c>
      <c r="T102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102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103" spans="1:21" x14ac:dyDescent="0.3">
      <c r="A103" s="14">
        <v>45974</v>
      </c>
      <c r="B103" s="14" t="s">
        <v>412</v>
      </c>
      <c r="C103" s="21" t="s">
        <v>461</v>
      </c>
      <c r="D103" s="21" t="s">
        <v>451</v>
      </c>
      <c r="E103" s="21" t="s">
        <v>133</v>
      </c>
      <c r="F103" s="21" t="s">
        <v>397</v>
      </c>
      <c r="G103" s="21" t="s">
        <v>462</v>
      </c>
      <c r="H103" s="21">
        <v>4133</v>
      </c>
      <c r="I103" s="21">
        <v>4133</v>
      </c>
      <c r="J103" s="21">
        <v>3015</v>
      </c>
      <c r="K103" s="21" t="s">
        <v>451</v>
      </c>
      <c r="L103" s="21" t="s">
        <v>452</v>
      </c>
      <c r="M103" s="21" t="s">
        <v>133</v>
      </c>
      <c r="N103" s="21" t="s">
        <v>431</v>
      </c>
      <c r="O103" s="26">
        <v>2</v>
      </c>
      <c r="P103" s="16" t="s">
        <v>431</v>
      </c>
      <c r="Q103" s="21">
        <v>3015</v>
      </c>
      <c r="R103" s="23">
        <v>1118</v>
      </c>
      <c r="S103" s="20" t="str" cm="1">
        <f t="array" ref="S103">IF(SUMPRODUCT((makaralar[MAKARA NO]=serim[[#This Row],[Makara Numarası]])*(makaralar[KALAN (mt)]&lt;0))&gt;0,
    "HATA VAR",
    "")</f>
        <v/>
      </c>
      <c r="T103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>HATA VAR</v>
      </c>
      <c r="U103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>HATA VAR</v>
      </c>
    </row>
    <row r="104" spans="1:21" hidden="1" x14ac:dyDescent="0.3">
      <c r="A104" s="14">
        <v>45974</v>
      </c>
      <c r="B104" s="14" t="s">
        <v>469</v>
      </c>
      <c r="C104" s="21" t="s">
        <v>426</v>
      </c>
      <c r="D104" s="21" t="s">
        <v>121</v>
      </c>
      <c r="E104" s="21" t="s">
        <v>458</v>
      </c>
      <c r="F104" s="21" t="s">
        <v>403</v>
      </c>
      <c r="G104" s="21" t="s">
        <v>55</v>
      </c>
      <c r="H104" s="21">
        <v>2045</v>
      </c>
      <c r="I104" s="21">
        <v>2045</v>
      </c>
      <c r="J104" s="21">
        <v>1000</v>
      </c>
      <c r="K104" s="21" t="s">
        <v>129</v>
      </c>
      <c r="L104" s="21" t="s">
        <v>463</v>
      </c>
      <c r="M104" s="21" t="s">
        <v>427</v>
      </c>
      <c r="N104" s="21" t="s">
        <v>464</v>
      </c>
      <c r="O104" s="26">
        <v>2</v>
      </c>
      <c r="P104" s="16"/>
      <c r="Q104" s="21">
        <v>1000</v>
      </c>
      <c r="R104" s="23">
        <v>1045</v>
      </c>
      <c r="S104" s="20" t="str" cm="1">
        <f t="array" ref="S104">IF(SUMPRODUCT((makaralar[MAKARA NO]=serim[[#This Row],[Makara Numarası]])*(makaralar[KALAN (mt)]&lt;0))&gt;0,
    "HATA VAR",
    "")</f>
        <v/>
      </c>
      <c r="T104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104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105" spans="1:21" hidden="1" x14ac:dyDescent="0.3">
      <c r="A105" s="24">
        <v>45973</v>
      </c>
      <c r="B105" s="14" t="s">
        <v>412</v>
      </c>
      <c r="C105" s="25" t="s">
        <v>441</v>
      </c>
      <c r="D105" s="25" t="s">
        <v>439</v>
      </c>
      <c r="E105" s="25" t="s">
        <v>442</v>
      </c>
      <c r="F105" s="25" t="s">
        <v>397</v>
      </c>
      <c r="G105" s="25" t="s">
        <v>69</v>
      </c>
      <c r="H105" s="25">
        <v>150</v>
      </c>
      <c r="I105" s="25">
        <v>150</v>
      </c>
      <c r="J105" s="25">
        <v>0</v>
      </c>
      <c r="K105" s="25" t="s">
        <v>439</v>
      </c>
      <c r="L105" s="25" t="s">
        <v>443</v>
      </c>
      <c r="M105" s="25" t="s">
        <v>442</v>
      </c>
      <c r="N105" s="25" t="s">
        <v>440</v>
      </c>
      <c r="O105" s="26">
        <v>1</v>
      </c>
      <c r="P105" s="28"/>
      <c r="Q105" s="25">
        <v>0</v>
      </c>
      <c r="R105" s="27">
        <v>150</v>
      </c>
      <c r="S105" s="20" t="str" cm="1">
        <f t="array" ref="S105">IF(SUMPRODUCT((makaralar[MAKARA NO]=serim[[#This Row],[Makara Numarası]])*(makaralar[KALAN (mt)]&lt;0))&gt;0,
    "HATA VAR",
    "")</f>
        <v/>
      </c>
      <c r="T105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105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106" spans="1:21" x14ac:dyDescent="0.3">
      <c r="A106" s="14">
        <v>45975</v>
      </c>
      <c r="B106" s="14" t="s">
        <v>469</v>
      </c>
      <c r="C106" s="15" t="s">
        <v>457</v>
      </c>
      <c r="D106" s="15" t="s">
        <v>451</v>
      </c>
      <c r="E106" s="15" t="s">
        <v>458</v>
      </c>
      <c r="F106" s="15" t="s">
        <v>476</v>
      </c>
      <c r="G106" s="16" t="s">
        <v>86</v>
      </c>
      <c r="H106" s="21">
        <v>3005</v>
      </c>
      <c r="I106" s="21">
        <v>3005</v>
      </c>
      <c r="J106" s="21">
        <v>400</v>
      </c>
      <c r="K106" s="21" t="s">
        <v>451</v>
      </c>
      <c r="L106" s="21" t="s">
        <v>431</v>
      </c>
      <c r="M106" s="21" t="s">
        <v>458</v>
      </c>
      <c r="N106" s="21" t="s">
        <v>459</v>
      </c>
      <c r="O106" s="22">
        <v>2</v>
      </c>
      <c r="P106" s="16" t="s">
        <v>459</v>
      </c>
      <c r="Q106" s="21">
        <v>400</v>
      </c>
      <c r="R106" s="23">
        <v>2605</v>
      </c>
      <c r="S106" s="20" t="str" cm="1">
        <f t="array" ref="S106">IF(SUMPRODUCT((makaralar[MAKARA NO]=serim[[#This Row],[Makara Numarası]])*(makaralar[KALAN (mt)]&lt;0))&gt;0,
    "HATA VAR",
    "")</f>
        <v/>
      </c>
      <c r="T106" s="31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106" s="31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107" spans="1:21" hidden="1" x14ac:dyDescent="0.3">
      <c r="A107" s="37">
        <v>45980</v>
      </c>
      <c r="B107" s="38" t="s">
        <v>469</v>
      </c>
      <c r="C107" s="39" t="s">
        <v>503</v>
      </c>
      <c r="D107" s="39" t="s">
        <v>115</v>
      </c>
      <c r="E107" s="39" t="s">
        <v>504</v>
      </c>
      <c r="F107" s="39" t="s">
        <v>476</v>
      </c>
      <c r="G107" s="40" t="s">
        <v>84</v>
      </c>
      <c r="H107" s="39">
        <v>316</v>
      </c>
      <c r="I107" s="39">
        <v>316</v>
      </c>
      <c r="J107" s="39">
        <v>180</v>
      </c>
      <c r="K107" s="39" t="s">
        <v>115</v>
      </c>
      <c r="L107" s="39" t="s">
        <v>505</v>
      </c>
      <c r="M107" s="39" t="s">
        <v>504</v>
      </c>
      <c r="N107" s="39" t="s">
        <v>506</v>
      </c>
      <c r="O107" s="26">
        <v>1</v>
      </c>
      <c r="P107" s="41"/>
      <c r="Q107" s="39">
        <v>180</v>
      </c>
      <c r="R107" s="42">
        <v>136</v>
      </c>
      <c r="S107" s="43" t="str" cm="1">
        <f t="array" ref="S107">IF(SUMPRODUCT((makaralar[MAKARA NO]=serim[[#This Row],[Makara Numarası]])*(makaralar[KALAN (mt)]&lt;0))&gt;0,
    "HATA VAR",
    "")</f>
        <v/>
      </c>
      <c r="T107" s="44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107" s="44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108" spans="1:21" hidden="1" x14ac:dyDescent="0.3">
      <c r="A108" s="29">
        <v>45980</v>
      </c>
      <c r="B108" s="14" t="s">
        <v>469</v>
      </c>
      <c r="C108" s="21" t="s">
        <v>497</v>
      </c>
      <c r="D108" s="21" t="s">
        <v>498</v>
      </c>
      <c r="E108" s="21" t="s">
        <v>499</v>
      </c>
      <c r="F108" s="21" t="s">
        <v>475</v>
      </c>
      <c r="G108" s="34" t="s">
        <v>78</v>
      </c>
      <c r="H108" s="21">
        <v>650</v>
      </c>
      <c r="I108" s="21">
        <v>650</v>
      </c>
      <c r="J108" s="21">
        <v>0</v>
      </c>
      <c r="K108" s="21" t="s">
        <v>498</v>
      </c>
      <c r="L108" s="21" t="s">
        <v>431</v>
      </c>
      <c r="M108" s="21" t="s">
        <v>499</v>
      </c>
      <c r="N108" s="21" t="s">
        <v>500</v>
      </c>
      <c r="O108" s="26">
        <v>1</v>
      </c>
      <c r="P108" s="16" t="s">
        <v>500</v>
      </c>
      <c r="Q108" s="21">
        <v>0</v>
      </c>
      <c r="R108" s="23">
        <v>650</v>
      </c>
      <c r="S108" s="35" t="str" cm="1">
        <f t="array" ref="S108">IF(SUMPRODUCT((makaralar[MAKARA NO]=serim[[#This Row],[Makara Numarası]])*(makaralar[KALAN (mt)]&lt;0))&gt;0,
    "HATA VAR",
    "")</f>
        <v/>
      </c>
      <c r="T108" s="36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108" s="36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109" spans="1:21" hidden="1" x14ac:dyDescent="0.3">
      <c r="A109" s="29">
        <v>45980</v>
      </c>
      <c r="B109" s="14" t="s">
        <v>469</v>
      </c>
      <c r="C109" s="21" t="s">
        <v>497</v>
      </c>
      <c r="D109" s="21" t="s">
        <v>498</v>
      </c>
      <c r="E109" s="21" t="s">
        <v>501</v>
      </c>
      <c r="F109" s="21" t="s">
        <v>475</v>
      </c>
      <c r="G109" s="34" t="s">
        <v>87</v>
      </c>
      <c r="H109" s="21">
        <v>643</v>
      </c>
      <c r="I109" s="21">
        <v>643</v>
      </c>
      <c r="J109" s="21">
        <v>0</v>
      </c>
      <c r="K109" s="21" t="s">
        <v>498</v>
      </c>
      <c r="L109" s="21" t="s">
        <v>431</v>
      </c>
      <c r="M109" s="21" t="s">
        <v>501</v>
      </c>
      <c r="N109" s="21" t="s">
        <v>502</v>
      </c>
      <c r="O109" s="26">
        <v>2</v>
      </c>
      <c r="P109" s="16" t="s">
        <v>502</v>
      </c>
      <c r="Q109" s="21">
        <v>0</v>
      </c>
      <c r="R109" s="23">
        <v>643</v>
      </c>
      <c r="S109" s="35" t="str" cm="1">
        <f t="array" ref="S109">IF(SUMPRODUCT((makaralar[MAKARA NO]=serim[[#This Row],[Makara Numarası]])*(makaralar[KALAN (mt)]&lt;0))&gt;0,
    "HATA VAR",
    "")</f>
        <v/>
      </c>
      <c r="T109" s="36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109" s="36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  <row r="110" spans="1:21" hidden="1" x14ac:dyDescent="0.3">
      <c r="A110" s="37">
        <v>45980</v>
      </c>
      <c r="B110" s="38" t="s">
        <v>469</v>
      </c>
      <c r="C110" s="39" t="s">
        <v>493</v>
      </c>
      <c r="D110" s="39" t="s">
        <v>125</v>
      </c>
      <c r="E110" s="39" t="s">
        <v>494</v>
      </c>
      <c r="F110" s="39" t="s">
        <v>397</v>
      </c>
      <c r="G110" s="40" t="s">
        <v>86</v>
      </c>
      <c r="H110" s="39">
        <v>400</v>
      </c>
      <c r="I110" s="39">
        <v>400</v>
      </c>
      <c r="J110" s="39">
        <v>85</v>
      </c>
      <c r="K110" s="39" t="s">
        <v>125</v>
      </c>
      <c r="L110" s="39" t="s">
        <v>495</v>
      </c>
      <c r="M110" s="39" t="s">
        <v>494</v>
      </c>
      <c r="N110" s="39" t="s">
        <v>496</v>
      </c>
      <c r="O110" s="26">
        <v>1</v>
      </c>
      <c r="P110" s="41"/>
      <c r="Q110" s="39">
        <v>85</v>
      </c>
      <c r="R110" s="42">
        <v>315</v>
      </c>
      <c r="S110" s="43" t="str" cm="1">
        <f t="array" ref="S110">IF(SUMPRODUCT((makaralar[MAKARA NO]=serim[[#This Row],[Makara Numarası]])*(makaralar[KALAN (mt)]&lt;0))&gt;0,
    "HATA VAR",
    "")</f>
        <v/>
      </c>
      <c r="T110" s="44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110" s="44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>HATA VAR</v>
      </c>
    </row>
    <row r="111" spans="1:21" hidden="1" x14ac:dyDescent="0.3">
      <c r="A111" s="37">
        <v>45980</v>
      </c>
      <c r="B111" s="38" t="s">
        <v>469</v>
      </c>
      <c r="C111" s="39" t="s">
        <v>507</v>
      </c>
      <c r="D111" s="39" t="s">
        <v>499</v>
      </c>
      <c r="E111" s="39" t="s">
        <v>508</v>
      </c>
      <c r="F111" s="39" t="s">
        <v>476</v>
      </c>
      <c r="G111" s="40" t="s">
        <v>84</v>
      </c>
      <c r="H111" s="39">
        <v>180</v>
      </c>
      <c r="I111" s="39">
        <v>180</v>
      </c>
      <c r="J111" s="39">
        <v>50</v>
      </c>
      <c r="K111" s="39" t="s">
        <v>499</v>
      </c>
      <c r="L111" s="39" t="s">
        <v>509</v>
      </c>
      <c r="M111" s="39" t="s">
        <v>508</v>
      </c>
      <c r="N111" s="39" t="s">
        <v>510</v>
      </c>
      <c r="O111" s="26">
        <v>1</v>
      </c>
      <c r="P111" s="41"/>
      <c r="Q111" s="39">
        <v>50</v>
      </c>
      <c r="R111" s="42">
        <v>130</v>
      </c>
      <c r="S111" s="43" t="str" cm="1">
        <f t="array" ref="S111">IF(SUMPRODUCT((makaralar[MAKARA NO]=serim[[#This Row],[Makara Numarası]])*(makaralar[KALAN (mt)]&lt;0))&gt;0,
    "HATA VAR",
    "")</f>
        <v/>
      </c>
      <c r="T111" s="44" t="str">
        <f>IFERROR(
   IF(
      --LEFT(serim[[#This Row],[Kablo Tipi]],FIND(" ",serim[[#This Row],[Kablo Tipi]])-1)
      &lt;&gt;
      INDEX(makaralar[CORE],
            MATCH(serim[[#This Row],[Makara Numarası]], makaralar[MAKARA NO], 0)
      ),
      "HATA VAR",
      ""
   ),
"HATA VAR")</f>
        <v/>
      </c>
      <c r="U111" s="44" t="str">
        <f>IFERROR(
   IF(
      IFERROR(FIND("(H)",serim[[#This Row],[Kablo Tipi]]),0)&gt;0
      &lt;&gt;
      (INDEX(makaralar[KABLO CİNSİ],
             MATCH(serim[[#This Row],[Makara Numarası]],makaralar[MAKARA NO],0)
       )="A-DQ"),
      "HATA VAR",
      ""
   ),
"HATA VAR")</f>
        <v/>
      </c>
    </row>
  </sheetData>
  <conditionalFormatting sqref="S2:U111">
    <cfRule type="containsText" dxfId="0" priority="1" operator="containsText" text="HATA VAR">
      <formula>NOT(ISERROR(SEARCH("HATA VAR",S2)))</formula>
    </cfRule>
  </conditionalFormatting>
  <pageMargins left="0.7" right="0.7" top="0.75" bottom="0.75" header="0.3" footer="0.3"/>
  <headerFooter>
    <oddHeader>&amp;L&amp;"Aptos"&amp;10&amp;KFF0000 Çok Gizli (Top Secret)&amp;1#_x000D_</oddHeader>
    <oddFooter>&amp;L_x000D_&amp;1#&amp;"Aptos"&amp;10&amp;KFF0000 Çok Gizli (Top Secret)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A36D4-ECB1-4C8F-8E0F-3B97A480D24B}">
  <dimension ref="A1:F17"/>
  <sheetViews>
    <sheetView workbookViewId="0">
      <selection activeCell="F10" sqref="F10"/>
    </sheetView>
  </sheetViews>
  <sheetFormatPr defaultRowHeight="14.4" x14ac:dyDescent="0.3"/>
  <cols>
    <col min="1" max="1" width="13.88671875" style="1" bestFit="1" customWidth="1"/>
    <col min="2" max="2" width="7" style="1" bestFit="1" customWidth="1"/>
    <col min="3" max="3" width="14.77734375" style="1" bestFit="1" customWidth="1"/>
    <col min="4" max="4" width="16" style="1" bestFit="1" customWidth="1"/>
    <col min="5" max="5" width="13.88671875" style="1" bestFit="1" customWidth="1"/>
    <col min="6" max="6" width="15.109375" style="1" bestFit="1" customWidth="1"/>
    <col min="7" max="7" width="11.6640625" style="1" bestFit="1" customWidth="1"/>
    <col min="8" max="8" width="7.5546875" style="1" bestFit="1" customWidth="1"/>
    <col min="9" max="16384" width="8.88671875" style="1"/>
  </cols>
  <sheetData>
    <row r="1" spans="1:6" x14ac:dyDescent="0.3">
      <c r="A1" s="1" t="s">
        <v>481</v>
      </c>
      <c r="B1" s="1" t="s">
        <v>482</v>
      </c>
      <c r="C1" s="1" t="s">
        <v>483</v>
      </c>
      <c r="D1" s="1" t="s">
        <v>484</v>
      </c>
      <c r="E1" s="1" t="s">
        <v>485</v>
      </c>
      <c r="F1" s="1" t="s">
        <v>486</v>
      </c>
    </row>
    <row r="2" spans="1:6" x14ac:dyDescent="0.3">
      <c r="A2" s="1" t="s">
        <v>487</v>
      </c>
      <c r="B2" s="1" t="s">
        <v>184</v>
      </c>
      <c r="C2" s="33" t="s">
        <v>488</v>
      </c>
      <c r="D2" s="33" t="s">
        <v>488</v>
      </c>
      <c r="E2" s="1" t="s">
        <v>403</v>
      </c>
      <c r="F2" s="1" t="s">
        <v>64</v>
      </c>
    </row>
    <row r="3" spans="1:6" x14ac:dyDescent="0.3">
      <c r="A3" s="1" t="s">
        <v>487</v>
      </c>
      <c r="B3" s="1" t="s">
        <v>177</v>
      </c>
      <c r="C3" s="1" t="s">
        <v>403</v>
      </c>
      <c r="D3" s="1" t="s">
        <v>64</v>
      </c>
      <c r="E3" s="1" t="s">
        <v>403</v>
      </c>
      <c r="F3" s="1" t="s">
        <v>58</v>
      </c>
    </row>
    <row r="4" spans="1:6" x14ac:dyDescent="0.3">
      <c r="A4" s="1" t="s">
        <v>487</v>
      </c>
      <c r="B4" s="1" t="s">
        <v>164</v>
      </c>
      <c r="C4" s="1" t="s">
        <v>403</v>
      </c>
      <c r="D4" s="1" t="s">
        <v>58</v>
      </c>
      <c r="E4" s="1" t="s">
        <v>403</v>
      </c>
      <c r="F4" s="1" t="s">
        <v>48</v>
      </c>
    </row>
    <row r="5" spans="1:6" x14ac:dyDescent="0.3">
      <c r="A5" s="1" t="s">
        <v>489</v>
      </c>
      <c r="B5" s="1" t="s">
        <v>194</v>
      </c>
      <c r="C5" s="1" t="s">
        <v>403</v>
      </c>
      <c r="D5" s="1" t="s">
        <v>48</v>
      </c>
      <c r="E5" s="1" t="s">
        <v>403</v>
      </c>
      <c r="F5" s="1" t="s">
        <v>65</v>
      </c>
    </row>
    <row r="6" spans="1:6" x14ac:dyDescent="0.3">
      <c r="A6" s="1" t="s">
        <v>489</v>
      </c>
      <c r="B6" s="1" t="s">
        <v>214</v>
      </c>
      <c r="C6" s="1" t="s">
        <v>403</v>
      </c>
      <c r="D6" s="1" t="s">
        <v>65</v>
      </c>
      <c r="E6" s="1" t="s">
        <v>475</v>
      </c>
      <c r="F6" s="1" t="s">
        <v>72</v>
      </c>
    </row>
    <row r="7" spans="1:6" x14ac:dyDescent="0.3">
      <c r="A7" s="1" t="s">
        <v>489</v>
      </c>
      <c r="B7" s="1" t="s">
        <v>224</v>
      </c>
      <c r="C7" s="1" t="s">
        <v>475</v>
      </c>
      <c r="D7" s="1" t="s">
        <v>72</v>
      </c>
      <c r="E7" s="1" t="s">
        <v>475</v>
      </c>
      <c r="F7" s="1" t="s">
        <v>75</v>
      </c>
    </row>
    <row r="8" spans="1:6" x14ac:dyDescent="0.3">
      <c r="A8" s="1" t="s">
        <v>489</v>
      </c>
      <c r="B8" s="1" t="s">
        <v>480</v>
      </c>
      <c r="C8" s="1" t="s">
        <v>475</v>
      </c>
      <c r="D8" s="1" t="s">
        <v>75</v>
      </c>
      <c r="E8" s="1" t="s">
        <v>475</v>
      </c>
      <c r="F8" s="1" t="s">
        <v>77</v>
      </c>
    </row>
    <row r="9" spans="1:6" x14ac:dyDescent="0.3">
      <c r="A9" s="1" t="s">
        <v>489</v>
      </c>
      <c r="B9" s="1" t="s">
        <v>267</v>
      </c>
      <c r="C9" s="1" t="s">
        <v>475</v>
      </c>
      <c r="D9" s="1" t="s">
        <v>77</v>
      </c>
      <c r="E9" s="1" t="s">
        <v>475</v>
      </c>
      <c r="F9" s="1" t="s">
        <v>88</v>
      </c>
    </row>
    <row r="10" spans="1:6" x14ac:dyDescent="0.3">
      <c r="A10" s="1" t="s">
        <v>489</v>
      </c>
      <c r="B10" s="1" t="s">
        <v>273</v>
      </c>
      <c r="C10" s="1" t="s">
        <v>403</v>
      </c>
      <c r="D10" s="1" t="s">
        <v>105</v>
      </c>
      <c r="E10" s="1" t="s">
        <v>403</v>
      </c>
      <c r="F10" s="1" t="s">
        <v>104</v>
      </c>
    </row>
    <row r="11" spans="1:6" x14ac:dyDescent="0.3">
      <c r="A11" s="1" t="s">
        <v>490</v>
      </c>
      <c r="B11" s="1" t="s">
        <v>292</v>
      </c>
      <c r="C11" s="1" t="s">
        <v>403</v>
      </c>
      <c r="D11" s="1" t="s">
        <v>104</v>
      </c>
      <c r="E11" s="1" t="s">
        <v>403</v>
      </c>
      <c r="F11" s="1" t="s">
        <v>101</v>
      </c>
    </row>
    <row r="12" spans="1:6" x14ac:dyDescent="0.3">
      <c r="A12" s="1" t="s">
        <v>490</v>
      </c>
      <c r="B12" s="1" t="s">
        <v>294</v>
      </c>
      <c r="C12" s="1" t="s">
        <v>403</v>
      </c>
      <c r="D12" s="1" t="s">
        <v>101</v>
      </c>
      <c r="E12" s="1" t="s">
        <v>475</v>
      </c>
      <c r="F12" s="1" t="s">
        <v>78</v>
      </c>
    </row>
    <row r="13" spans="1:6" x14ac:dyDescent="0.3">
      <c r="A13" s="1" t="s">
        <v>490</v>
      </c>
      <c r="B13" s="1" t="s">
        <v>311</v>
      </c>
      <c r="C13" s="1" t="s">
        <v>475</v>
      </c>
      <c r="D13" s="1" t="s">
        <v>78</v>
      </c>
      <c r="E13" s="1" t="s">
        <v>403</v>
      </c>
      <c r="F13" s="1" t="s">
        <v>106</v>
      </c>
    </row>
    <row r="14" spans="1:6" x14ac:dyDescent="0.3">
      <c r="A14" s="1" t="s">
        <v>490</v>
      </c>
      <c r="B14" s="1" t="s">
        <v>114</v>
      </c>
      <c r="C14" s="1" t="s">
        <v>403</v>
      </c>
      <c r="D14" s="1" t="s">
        <v>106</v>
      </c>
      <c r="E14" s="1" t="s">
        <v>403</v>
      </c>
      <c r="F14" s="1" t="s">
        <v>103</v>
      </c>
    </row>
    <row r="15" spans="1:6" x14ac:dyDescent="0.3">
      <c r="A15" s="1" t="s">
        <v>491</v>
      </c>
      <c r="B15" s="1" t="s">
        <v>430</v>
      </c>
      <c r="C15" s="1" t="s">
        <v>475</v>
      </c>
      <c r="D15" s="1" t="s">
        <v>92</v>
      </c>
      <c r="E15" s="1" t="s">
        <v>403</v>
      </c>
      <c r="F15" s="1" t="s">
        <v>428</v>
      </c>
    </row>
    <row r="16" spans="1:6" x14ac:dyDescent="0.3">
      <c r="A16" s="1" t="s">
        <v>491</v>
      </c>
      <c r="B16" s="1" t="s">
        <v>429</v>
      </c>
      <c r="C16" s="1" t="s">
        <v>403</v>
      </c>
      <c r="D16" s="1" t="s">
        <v>428</v>
      </c>
      <c r="E16" s="1" t="s">
        <v>403</v>
      </c>
      <c r="F16" s="1" t="s">
        <v>445</v>
      </c>
    </row>
    <row r="17" spans="1:6" x14ac:dyDescent="0.3">
      <c r="A17" s="1" t="s">
        <v>491</v>
      </c>
      <c r="B17" s="1" t="s">
        <v>446</v>
      </c>
      <c r="C17" s="1" t="s">
        <v>403</v>
      </c>
      <c r="D17" s="1" t="s">
        <v>445</v>
      </c>
      <c r="E17" s="1" t="s">
        <v>403</v>
      </c>
      <c r="F17" s="1" t="s">
        <v>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179A4-F03A-4BC2-948B-9CA292D3DDE2}">
  <dimension ref="A1:D25"/>
  <sheetViews>
    <sheetView workbookViewId="0">
      <selection activeCell="F11" sqref="F11"/>
    </sheetView>
  </sheetViews>
  <sheetFormatPr defaultRowHeight="14.4" x14ac:dyDescent="0.3"/>
  <cols>
    <col min="1" max="1" width="13.5546875" style="1" bestFit="1" customWidth="1"/>
    <col min="2" max="2" width="7" style="1" bestFit="1" customWidth="1"/>
    <col min="3" max="3" width="16" style="1" bestFit="1" customWidth="1"/>
    <col min="4" max="4" width="15.109375" style="1" bestFit="1" customWidth="1"/>
    <col min="5" max="16384" width="8.88671875" style="1"/>
  </cols>
  <sheetData>
    <row r="1" spans="1:4" ht="15" thickBot="1" x14ac:dyDescent="0.35">
      <c r="A1" s="1" t="s">
        <v>481</v>
      </c>
      <c r="B1" s="1" t="s">
        <v>482</v>
      </c>
      <c r="C1" s="1" t="s">
        <v>484</v>
      </c>
      <c r="D1" s="1" t="s">
        <v>486</v>
      </c>
    </row>
    <row r="2" spans="1:4" x14ac:dyDescent="0.3">
      <c r="A2" s="45" t="s">
        <v>511</v>
      </c>
      <c r="B2" s="46" t="s">
        <v>191</v>
      </c>
      <c r="C2" s="47" t="s">
        <v>488</v>
      </c>
      <c r="D2" s="55" t="s">
        <v>61</v>
      </c>
    </row>
    <row r="3" spans="1:4" x14ac:dyDescent="0.3">
      <c r="A3" s="49" t="s">
        <v>511</v>
      </c>
      <c r="B3" s="56" t="s">
        <v>158</v>
      </c>
      <c r="C3" s="56" t="s">
        <v>61</v>
      </c>
      <c r="D3" s="50" t="s">
        <v>56</v>
      </c>
    </row>
    <row r="4" spans="1:4" x14ac:dyDescent="0.3">
      <c r="A4" s="49" t="s">
        <v>511</v>
      </c>
      <c r="B4" s="56" t="s">
        <v>157</v>
      </c>
      <c r="C4" s="56" t="s">
        <v>56</v>
      </c>
      <c r="D4" s="50" t="s">
        <v>60</v>
      </c>
    </row>
    <row r="5" spans="1:4" x14ac:dyDescent="0.3">
      <c r="A5" s="49" t="s">
        <v>467</v>
      </c>
      <c r="B5" s="56" t="s">
        <v>154</v>
      </c>
      <c r="C5" s="56" t="s">
        <v>60</v>
      </c>
      <c r="D5" s="50" t="s">
        <v>63</v>
      </c>
    </row>
    <row r="6" spans="1:4" x14ac:dyDescent="0.3">
      <c r="A6" s="49" t="s">
        <v>512</v>
      </c>
      <c r="B6" s="56" t="s">
        <v>194</v>
      </c>
      <c r="C6" s="56" t="s">
        <v>63</v>
      </c>
      <c r="D6" s="50" t="s">
        <v>73</v>
      </c>
    </row>
    <row r="7" spans="1:4" x14ac:dyDescent="0.3">
      <c r="A7" s="49" t="s">
        <v>512</v>
      </c>
      <c r="B7" s="56" t="s">
        <v>213</v>
      </c>
      <c r="C7" s="56" t="s">
        <v>73</v>
      </c>
      <c r="D7" s="50" t="s">
        <v>74</v>
      </c>
    </row>
    <row r="8" spans="1:4" x14ac:dyDescent="0.3">
      <c r="A8" s="49" t="s">
        <v>512</v>
      </c>
      <c r="B8" s="56" t="s">
        <v>235</v>
      </c>
      <c r="C8" s="56" t="s">
        <v>74</v>
      </c>
      <c r="D8" s="50" t="s">
        <v>79</v>
      </c>
    </row>
    <row r="9" spans="1:4" x14ac:dyDescent="0.3">
      <c r="A9" s="49" t="s">
        <v>512</v>
      </c>
      <c r="B9" s="56" t="s">
        <v>238</v>
      </c>
      <c r="C9" s="56" t="s">
        <v>79</v>
      </c>
      <c r="D9" s="50" t="s">
        <v>76</v>
      </c>
    </row>
    <row r="10" spans="1:4" x14ac:dyDescent="0.3">
      <c r="A10" s="49" t="s">
        <v>512</v>
      </c>
      <c r="B10" s="56" t="s">
        <v>253</v>
      </c>
      <c r="C10" s="56" t="s">
        <v>76</v>
      </c>
      <c r="D10" s="50" t="s">
        <v>105</v>
      </c>
    </row>
    <row r="11" spans="1:4" x14ac:dyDescent="0.3">
      <c r="A11" s="49" t="s">
        <v>468</v>
      </c>
      <c r="B11" s="56" t="s">
        <v>268</v>
      </c>
      <c r="C11" s="56" t="s">
        <v>105</v>
      </c>
      <c r="D11" s="50" t="s">
        <v>109</v>
      </c>
    </row>
    <row r="12" spans="1:4" x14ac:dyDescent="0.3">
      <c r="A12" s="49" t="s">
        <v>513</v>
      </c>
      <c r="B12" s="56" t="s">
        <v>274</v>
      </c>
      <c r="C12" s="56" t="s">
        <v>109</v>
      </c>
      <c r="D12" s="50" t="s">
        <v>101</v>
      </c>
    </row>
    <row r="13" spans="1:4" x14ac:dyDescent="0.3">
      <c r="A13" s="49" t="s">
        <v>513</v>
      </c>
      <c r="B13" s="56" t="s">
        <v>292</v>
      </c>
      <c r="C13" s="56" t="s">
        <v>101</v>
      </c>
      <c r="D13" s="50" t="s">
        <v>87</v>
      </c>
    </row>
    <row r="14" spans="1:4" x14ac:dyDescent="0.3">
      <c r="A14" s="49" t="s">
        <v>513</v>
      </c>
      <c r="B14" s="56" t="s">
        <v>294</v>
      </c>
      <c r="C14" s="56" t="s">
        <v>87</v>
      </c>
      <c r="D14" s="50" t="s">
        <v>100</v>
      </c>
    </row>
    <row r="15" spans="1:4" x14ac:dyDescent="0.3">
      <c r="A15" s="49" t="s">
        <v>513</v>
      </c>
      <c r="B15" s="56" t="s">
        <v>492</v>
      </c>
      <c r="C15" s="56" t="s">
        <v>100</v>
      </c>
      <c r="D15" s="51" t="s">
        <v>488</v>
      </c>
    </row>
    <row r="16" spans="1:4" x14ac:dyDescent="0.3">
      <c r="A16" s="49" t="s">
        <v>513</v>
      </c>
      <c r="B16" s="56" t="s">
        <v>312</v>
      </c>
      <c r="C16" s="57" t="s">
        <v>488</v>
      </c>
      <c r="D16" s="50" t="s">
        <v>98</v>
      </c>
    </row>
    <row r="17" spans="1:4" x14ac:dyDescent="0.3">
      <c r="A17" s="49" t="s">
        <v>513</v>
      </c>
      <c r="B17" s="56" t="s">
        <v>114</v>
      </c>
      <c r="C17" s="56" t="s">
        <v>98</v>
      </c>
      <c r="D17" s="50" t="s">
        <v>93</v>
      </c>
    </row>
    <row r="18" spans="1:4" x14ac:dyDescent="0.3">
      <c r="A18" s="49" t="s">
        <v>513</v>
      </c>
      <c r="B18" s="56" t="s">
        <v>122</v>
      </c>
      <c r="C18" s="56" t="s">
        <v>93</v>
      </c>
      <c r="D18" s="50" t="s">
        <v>63</v>
      </c>
    </row>
    <row r="19" spans="1:4" ht="15" thickBot="1" x14ac:dyDescent="0.35">
      <c r="A19" s="52" t="s">
        <v>412</v>
      </c>
      <c r="B19" s="53" t="s">
        <v>123</v>
      </c>
      <c r="C19" s="53" t="s">
        <v>63</v>
      </c>
      <c r="D19" s="54" t="s">
        <v>488</v>
      </c>
    </row>
    <row r="20" spans="1:4" ht="15" thickBot="1" x14ac:dyDescent="0.35"/>
    <row r="21" spans="1:4" x14ac:dyDescent="0.3">
      <c r="A21" s="45" t="s">
        <v>513</v>
      </c>
      <c r="B21" s="46" t="s">
        <v>464</v>
      </c>
      <c r="C21" s="46" t="s">
        <v>488</v>
      </c>
      <c r="D21" s="55" t="s">
        <v>55</v>
      </c>
    </row>
    <row r="22" spans="1:4" x14ac:dyDescent="0.3">
      <c r="A22" s="49" t="s">
        <v>514</v>
      </c>
      <c r="B22" s="56" t="s">
        <v>463</v>
      </c>
      <c r="C22" s="56" t="s">
        <v>55</v>
      </c>
      <c r="D22" s="50" t="s">
        <v>52</v>
      </c>
    </row>
    <row r="23" spans="1:4" x14ac:dyDescent="0.3">
      <c r="A23" s="49" t="s">
        <v>514</v>
      </c>
      <c r="B23" s="56" t="s">
        <v>515</v>
      </c>
      <c r="C23" s="56" t="s">
        <v>52</v>
      </c>
      <c r="D23" s="50" t="s">
        <v>59</v>
      </c>
    </row>
    <row r="24" spans="1:4" x14ac:dyDescent="0.3">
      <c r="A24" s="49" t="s">
        <v>514</v>
      </c>
      <c r="B24" s="56" t="s">
        <v>431</v>
      </c>
      <c r="C24" s="56" t="s">
        <v>59</v>
      </c>
      <c r="D24" s="50" t="s">
        <v>87</v>
      </c>
    </row>
    <row r="25" spans="1:4" ht="15" thickBot="1" x14ac:dyDescent="0.35">
      <c r="A25" s="52" t="s">
        <v>514</v>
      </c>
      <c r="B25" s="53" t="s">
        <v>502</v>
      </c>
      <c r="C25" s="53" t="s">
        <v>87</v>
      </c>
      <c r="D25" s="58" t="s">
        <v>488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D7BC3-9FDA-476F-98CA-85AE042433BC}">
  <dimension ref="A1:D61"/>
  <sheetViews>
    <sheetView topLeftCell="A2" workbookViewId="0">
      <selection activeCell="G14" sqref="G14"/>
    </sheetView>
  </sheetViews>
  <sheetFormatPr defaultRowHeight="14.4" x14ac:dyDescent="0.3"/>
  <cols>
    <col min="1" max="1" width="13.5546875" bestFit="1" customWidth="1"/>
    <col min="2" max="2" width="7" bestFit="1" customWidth="1"/>
    <col min="3" max="3" width="16" bestFit="1" customWidth="1"/>
    <col min="4" max="4" width="15.109375" bestFit="1" customWidth="1"/>
  </cols>
  <sheetData>
    <row r="1" spans="1:4" ht="15" thickBot="1" x14ac:dyDescent="0.35">
      <c r="A1" s="1" t="s">
        <v>481</v>
      </c>
      <c r="B1" s="1" t="s">
        <v>482</v>
      </c>
      <c r="C1" s="1" t="s">
        <v>484</v>
      </c>
      <c r="D1" s="1" t="s">
        <v>486</v>
      </c>
    </row>
    <row r="2" spans="1:4" x14ac:dyDescent="0.3">
      <c r="A2" s="45" t="s">
        <v>511</v>
      </c>
      <c r="B2" s="46" t="s">
        <v>210</v>
      </c>
      <c r="C2" s="47" t="s">
        <v>488</v>
      </c>
      <c r="D2" s="48" t="s">
        <v>84</v>
      </c>
    </row>
    <row r="3" spans="1:4" x14ac:dyDescent="0.3">
      <c r="A3" s="49" t="s">
        <v>511</v>
      </c>
      <c r="B3" s="1" t="s">
        <v>187</v>
      </c>
      <c r="C3" s="33" t="s">
        <v>84</v>
      </c>
      <c r="D3" s="50" t="s">
        <v>48</v>
      </c>
    </row>
    <row r="4" spans="1:4" x14ac:dyDescent="0.3">
      <c r="A4" s="49" t="s">
        <v>511</v>
      </c>
      <c r="B4" s="1" t="s">
        <v>181</v>
      </c>
      <c r="C4" s="1" t="s">
        <v>48</v>
      </c>
      <c r="D4" s="50" t="s">
        <v>48</v>
      </c>
    </row>
    <row r="5" spans="1:4" x14ac:dyDescent="0.3">
      <c r="A5" s="49" t="s">
        <v>511</v>
      </c>
      <c r="B5" s="1" t="s">
        <v>175</v>
      </c>
      <c r="C5" s="1" t="s">
        <v>48</v>
      </c>
      <c r="D5" s="50" t="s">
        <v>49</v>
      </c>
    </row>
    <row r="6" spans="1:4" x14ac:dyDescent="0.3">
      <c r="A6" s="49" t="s">
        <v>511</v>
      </c>
      <c r="B6" s="1" t="s">
        <v>172</v>
      </c>
      <c r="C6" s="1" t="s">
        <v>49</v>
      </c>
      <c r="D6" s="50" t="s">
        <v>49</v>
      </c>
    </row>
    <row r="7" spans="1:4" x14ac:dyDescent="0.3">
      <c r="A7" s="49" t="s">
        <v>511</v>
      </c>
      <c r="B7" s="1" t="s">
        <v>168</v>
      </c>
      <c r="C7" s="1" t="s">
        <v>49</v>
      </c>
      <c r="D7" s="50" t="s">
        <v>49</v>
      </c>
    </row>
    <row r="8" spans="1:4" x14ac:dyDescent="0.3">
      <c r="A8" s="49" t="s">
        <v>511</v>
      </c>
      <c r="B8" s="1" t="s">
        <v>162</v>
      </c>
      <c r="C8" s="1" t="s">
        <v>49</v>
      </c>
      <c r="D8" s="50" t="s">
        <v>49</v>
      </c>
    </row>
    <row r="9" spans="1:4" x14ac:dyDescent="0.3">
      <c r="A9" s="49" t="s">
        <v>467</v>
      </c>
      <c r="B9" s="1" t="s">
        <v>154</v>
      </c>
      <c r="C9" s="1" t="s">
        <v>49</v>
      </c>
      <c r="D9" s="50" t="s">
        <v>47</v>
      </c>
    </row>
    <row r="10" spans="1:4" x14ac:dyDescent="0.3">
      <c r="A10" s="49" t="s">
        <v>512</v>
      </c>
      <c r="B10" s="1" t="s">
        <v>204</v>
      </c>
      <c r="C10" s="1" t="s">
        <v>47</v>
      </c>
      <c r="D10" s="50" t="s">
        <v>47</v>
      </c>
    </row>
    <row r="11" spans="1:4" x14ac:dyDescent="0.3">
      <c r="A11" s="49" t="s">
        <v>512</v>
      </c>
      <c r="B11" s="1" t="s">
        <v>200</v>
      </c>
      <c r="C11" s="1" t="s">
        <v>47</v>
      </c>
      <c r="D11" s="50" t="s">
        <v>47</v>
      </c>
    </row>
    <row r="12" spans="1:4" x14ac:dyDescent="0.3">
      <c r="A12" s="49" t="s">
        <v>512</v>
      </c>
      <c r="B12" s="1" t="s">
        <v>199</v>
      </c>
      <c r="C12" s="1" t="s">
        <v>47</v>
      </c>
      <c r="D12" s="50" t="s">
        <v>85</v>
      </c>
    </row>
    <row r="13" spans="1:4" x14ac:dyDescent="0.3">
      <c r="A13" s="49" t="s">
        <v>512</v>
      </c>
      <c r="B13" s="1" t="s">
        <v>217</v>
      </c>
      <c r="C13" s="1" t="s">
        <v>85</v>
      </c>
      <c r="D13" s="50" t="s">
        <v>42</v>
      </c>
    </row>
    <row r="14" spans="1:4" x14ac:dyDescent="0.3">
      <c r="A14" s="49" t="s">
        <v>512</v>
      </c>
      <c r="B14" s="1" t="s">
        <v>219</v>
      </c>
      <c r="C14" s="1" t="s">
        <v>42</v>
      </c>
      <c r="D14" s="50" t="s">
        <v>42</v>
      </c>
    </row>
    <row r="15" spans="1:4" x14ac:dyDescent="0.3">
      <c r="A15" s="49" t="s">
        <v>512</v>
      </c>
      <c r="B15" s="1" t="s">
        <v>223</v>
      </c>
      <c r="C15" s="1" t="s">
        <v>42</v>
      </c>
      <c r="D15" s="50" t="s">
        <v>42</v>
      </c>
    </row>
    <row r="16" spans="1:4" x14ac:dyDescent="0.3">
      <c r="A16" s="49" t="s">
        <v>512</v>
      </c>
      <c r="B16" s="1" t="s">
        <v>227</v>
      </c>
      <c r="C16" s="33" t="s">
        <v>42</v>
      </c>
      <c r="D16" s="51" t="s">
        <v>85</v>
      </c>
    </row>
    <row r="17" spans="1:4" x14ac:dyDescent="0.3">
      <c r="A17" s="49" t="s">
        <v>512</v>
      </c>
      <c r="B17" s="1" t="s">
        <v>241</v>
      </c>
      <c r="C17" s="1" t="s">
        <v>85</v>
      </c>
      <c r="D17" s="50" t="s">
        <v>85</v>
      </c>
    </row>
    <row r="18" spans="1:4" x14ac:dyDescent="0.3">
      <c r="A18" s="49" t="s">
        <v>512</v>
      </c>
      <c r="B18" s="1" t="s">
        <v>243</v>
      </c>
      <c r="C18" s="1" t="s">
        <v>85</v>
      </c>
      <c r="D18" s="50" t="s">
        <v>85</v>
      </c>
    </row>
    <row r="19" spans="1:4" x14ac:dyDescent="0.3">
      <c r="A19" s="49" t="s">
        <v>512</v>
      </c>
      <c r="B19" s="1" t="s">
        <v>247</v>
      </c>
      <c r="C19" s="1" t="s">
        <v>85</v>
      </c>
      <c r="D19" s="50" t="s">
        <v>85</v>
      </c>
    </row>
    <row r="20" spans="1:4" x14ac:dyDescent="0.3">
      <c r="A20" s="49" t="s">
        <v>512</v>
      </c>
      <c r="B20" s="1" t="s">
        <v>251</v>
      </c>
      <c r="C20" s="1" t="s">
        <v>85</v>
      </c>
      <c r="D20" s="50" t="s">
        <v>84</v>
      </c>
    </row>
    <row r="21" spans="1:4" x14ac:dyDescent="0.3">
      <c r="A21" s="49" t="s">
        <v>512</v>
      </c>
      <c r="B21" s="1" t="s">
        <v>262</v>
      </c>
      <c r="C21" s="33" t="s">
        <v>84</v>
      </c>
      <c r="D21" s="51" t="s">
        <v>84</v>
      </c>
    </row>
    <row r="22" spans="1:4" x14ac:dyDescent="0.3">
      <c r="A22" s="49" t="s">
        <v>512</v>
      </c>
      <c r="B22" s="1" t="s">
        <v>258</v>
      </c>
      <c r="C22" s="1" t="s">
        <v>84</v>
      </c>
      <c r="D22" s="50" t="s">
        <v>84</v>
      </c>
    </row>
    <row r="23" spans="1:4" x14ac:dyDescent="0.3">
      <c r="A23" s="49" t="s">
        <v>512</v>
      </c>
      <c r="B23" s="1" t="s">
        <v>256</v>
      </c>
      <c r="C23" s="1" t="s">
        <v>84</v>
      </c>
      <c r="D23" s="50" t="s">
        <v>70</v>
      </c>
    </row>
    <row r="24" spans="1:4" ht="15" thickBot="1" x14ac:dyDescent="0.35">
      <c r="A24" s="52" t="s">
        <v>512</v>
      </c>
      <c r="B24" s="53" t="s">
        <v>271</v>
      </c>
      <c r="C24" s="53" t="s">
        <v>70</v>
      </c>
      <c r="D24" s="54" t="s">
        <v>488</v>
      </c>
    </row>
    <row r="25" spans="1:4" ht="15" thickBot="1" x14ac:dyDescent="0.35">
      <c r="A25" s="1"/>
      <c r="B25" s="1"/>
      <c r="C25" s="1"/>
      <c r="D25" s="1"/>
    </row>
    <row r="26" spans="1:4" x14ac:dyDescent="0.3">
      <c r="A26" s="45" t="s">
        <v>468</v>
      </c>
      <c r="B26" s="46" t="s">
        <v>268</v>
      </c>
      <c r="C26" s="47" t="s">
        <v>488</v>
      </c>
      <c r="D26" s="55" t="s">
        <v>70</v>
      </c>
    </row>
    <row r="27" spans="1:4" x14ac:dyDescent="0.3">
      <c r="A27" s="49" t="s">
        <v>513</v>
      </c>
      <c r="B27" s="1" t="s">
        <v>279</v>
      </c>
      <c r="C27" s="1" t="s">
        <v>70</v>
      </c>
      <c r="D27" s="50" t="s">
        <v>71</v>
      </c>
    </row>
    <row r="28" spans="1:4" x14ac:dyDescent="0.3">
      <c r="A28" s="49" t="s">
        <v>513</v>
      </c>
      <c r="B28" s="1" t="s">
        <v>286</v>
      </c>
      <c r="C28" s="1" t="s">
        <v>71</v>
      </c>
      <c r="D28" s="50" t="s">
        <v>70</v>
      </c>
    </row>
    <row r="29" spans="1:4" x14ac:dyDescent="0.3">
      <c r="A29" s="49" t="s">
        <v>513</v>
      </c>
      <c r="B29" s="1" t="s">
        <v>283</v>
      </c>
      <c r="C29" s="1" t="s">
        <v>70</v>
      </c>
      <c r="D29" s="50" t="s">
        <v>84</v>
      </c>
    </row>
    <row r="30" spans="1:4" x14ac:dyDescent="0.3">
      <c r="A30" s="49" t="s">
        <v>513</v>
      </c>
      <c r="B30" s="1" t="s">
        <v>282</v>
      </c>
      <c r="C30" s="1" t="s">
        <v>84</v>
      </c>
      <c r="D30" s="50" t="s">
        <v>71</v>
      </c>
    </row>
    <row r="31" spans="1:4" x14ac:dyDescent="0.3">
      <c r="A31" s="49" t="s">
        <v>513</v>
      </c>
      <c r="B31" s="1" t="s">
        <v>290</v>
      </c>
      <c r="C31" s="1" t="s">
        <v>71</v>
      </c>
      <c r="D31" s="50" t="s">
        <v>71</v>
      </c>
    </row>
    <row r="32" spans="1:4" x14ac:dyDescent="0.3">
      <c r="A32" s="49" t="s">
        <v>513</v>
      </c>
      <c r="B32" s="1" t="s">
        <v>292</v>
      </c>
      <c r="C32" s="1" t="s">
        <v>71</v>
      </c>
      <c r="D32" s="50" t="s">
        <v>84</v>
      </c>
    </row>
    <row r="33" spans="1:4" x14ac:dyDescent="0.3">
      <c r="A33" s="49" t="s">
        <v>513</v>
      </c>
      <c r="B33" s="1" t="s">
        <v>294</v>
      </c>
      <c r="C33" s="1" t="s">
        <v>84</v>
      </c>
      <c r="D33" s="50" t="s">
        <v>67</v>
      </c>
    </row>
    <row r="34" spans="1:4" x14ac:dyDescent="0.3">
      <c r="A34" s="49" t="s">
        <v>513</v>
      </c>
      <c r="B34" s="1" t="s">
        <v>114</v>
      </c>
      <c r="C34" s="1" t="s">
        <v>67</v>
      </c>
      <c r="D34" s="50" t="s">
        <v>83</v>
      </c>
    </row>
    <row r="35" spans="1:4" x14ac:dyDescent="0.3">
      <c r="A35" s="49" t="s">
        <v>513</v>
      </c>
      <c r="B35" s="1" t="s">
        <v>135</v>
      </c>
      <c r="C35" s="1" t="s">
        <v>83</v>
      </c>
      <c r="D35" s="50" t="s">
        <v>67</v>
      </c>
    </row>
    <row r="36" spans="1:4" x14ac:dyDescent="0.3">
      <c r="A36" s="49" t="s">
        <v>513</v>
      </c>
      <c r="B36" s="1" t="s">
        <v>401</v>
      </c>
      <c r="C36" s="1" t="s">
        <v>67</v>
      </c>
      <c r="D36" s="50" t="s">
        <v>68</v>
      </c>
    </row>
    <row r="37" spans="1:4" x14ac:dyDescent="0.3">
      <c r="A37" s="49" t="s">
        <v>513</v>
      </c>
      <c r="B37" s="1" t="s">
        <v>398</v>
      </c>
      <c r="C37" s="1" t="s">
        <v>68</v>
      </c>
      <c r="D37" s="50" t="s">
        <v>67</v>
      </c>
    </row>
    <row r="38" spans="1:4" x14ac:dyDescent="0.3">
      <c r="A38" s="49" t="s">
        <v>513</v>
      </c>
      <c r="B38" s="1" t="s">
        <v>131</v>
      </c>
      <c r="C38" s="1" t="s">
        <v>67</v>
      </c>
      <c r="D38" s="50" t="s">
        <v>83</v>
      </c>
    </row>
    <row r="39" spans="1:4" x14ac:dyDescent="0.3">
      <c r="A39" s="49" t="s">
        <v>412</v>
      </c>
      <c r="B39" s="1" t="s">
        <v>123</v>
      </c>
      <c r="C39" s="1" t="s">
        <v>83</v>
      </c>
      <c r="D39" s="50" t="s">
        <v>71</v>
      </c>
    </row>
    <row r="40" spans="1:4" ht="15" thickBot="1" x14ac:dyDescent="0.35">
      <c r="A40" s="52" t="s">
        <v>514</v>
      </c>
      <c r="B40" s="53" t="s">
        <v>466</v>
      </c>
      <c r="C40" s="53" t="s">
        <v>71</v>
      </c>
      <c r="D40" s="54" t="s">
        <v>488</v>
      </c>
    </row>
    <row r="41" spans="1:4" ht="15" thickBot="1" x14ac:dyDescent="0.35">
      <c r="A41" s="1"/>
      <c r="B41" s="1"/>
      <c r="C41" s="1"/>
      <c r="D41" s="1"/>
    </row>
    <row r="42" spans="1:4" x14ac:dyDescent="0.3">
      <c r="A42" s="45" t="s">
        <v>513</v>
      </c>
      <c r="B42" s="46" t="s">
        <v>122</v>
      </c>
      <c r="C42" s="47" t="s">
        <v>488</v>
      </c>
      <c r="D42" s="55" t="s">
        <v>68</v>
      </c>
    </row>
    <row r="43" spans="1:4" ht="15" thickBot="1" x14ac:dyDescent="0.35">
      <c r="A43" s="52" t="s">
        <v>412</v>
      </c>
      <c r="B43" s="53" t="s">
        <v>123</v>
      </c>
      <c r="C43" s="53" t="s">
        <v>68</v>
      </c>
      <c r="D43" s="54" t="s">
        <v>488</v>
      </c>
    </row>
    <row r="44" spans="1:4" ht="15" thickBot="1" x14ac:dyDescent="0.35">
      <c r="A44" s="1"/>
      <c r="B44" s="1"/>
      <c r="C44" s="1"/>
      <c r="D44" s="1"/>
    </row>
    <row r="45" spans="1:4" x14ac:dyDescent="0.3">
      <c r="A45" s="45" t="s">
        <v>514</v>
      </c>
      <c r="B45" s="46" t="s">
        <v>456</v>
      </c>
      <c r="C45" s="47" t="s">
        <v>488</v>
      </c>
      <c r="D45" s="55" t="s">
        <v>51</v>
      </c>
    </row>
    <row r="46" spans="1:4" ht="15" thickBot="1" x14ac:dyDescent="0.35">
      <c r="A46" s="52" t="s">
        <v>514</v>
      </c>
      <c r="B46" s="53" t="s">
        <v>455</v>
      </c>
      <c r="C46" s="53" t="s">
        <v>51</v>
      </c>
      <c r="D46" s="54" t="s">
        <v>488</v>
      </c>
    </row>
    <row r="47" spans="1:4" ht="15" thickBot="1" x14ac:dyDescent="0.35">
      <c r="A47" s="1"/>
      <c r="B47" s="1"/>
      <c r="C47" s="1"/>
      <c r="D47" s="1"/>
    </row>
    <row r="48" spans="1:4" x14ac:dyDescent="0.3">
      <c r="A48" s="45" t="s">
        <v>514</v>
      </c>
      <c r="B48" s="46" t="s">
        <v>421</v>
      </c>
      <c r="C48" s="47" t="s">
        <v>488</v>
      </c>
      <c r="D48" s="55" t="s">
        <v>71</v>
      </c>
    </row>
    <row r="49" spans="1:4" x14ac:dyDescent="0.3">
      <c r="A49" s="49" t="s">
        <v>514</v>
      </c>
      <c r="B49" s="1" t="s">
        <v>422</v>
      </c>
      <c r="C49" s="1" t="s">
        <v>71</v>
      </c>
      <c r="D49" s="50" t="s">
        <v>69</v>
      </c>
    </row>
    <row r="50" spans="1:4" x14ac:dyDescent="0.3">
      <c r="A50" s="49" t="s">
        <v>514</v>
      </c>
      <c r="B50" s="1" t="s">
        <v>425</v>
      </c>
      <c r="C50" s="1" t="s">
        <v>69</v>
      </c>
      <c r="D50" s="50" t="s">
        <v>69</v>
      </c>
    </row>
    <row r="51" spans="1:4" x14ac:dyDescent="0.3">
      <c r="A51" s="49" t="s">
        <v>514</v>
      </c>
      <c r="B51" s="1" t="s">
        <v>435</v>
      </c>
      <c r="C51" s="1" t="s">
        <v>69</v>
      </c>
      <c r="D51" s="50" t="s">
        <v>69</v>
      </c>
    </row>
    <row r="52" spans="1:4" x14ac:dyDescent="0.3">
      <c r="A52" s="49" t="s">
        <v>514</v>
      </c>
      <c r="B52" s="1" t="s">
        <v>436</v>
      </c>
      <c r="C52" s="1" t="s">
        <v>69</v>
      </c>
      <c r="D52" s="50" t="s">
        <v>69</v>
      </c>
    </row>
    <row r="53" spans="1:4" x14ac:dyDescent="0.3">
      <c r="A53" s="49" t="s">
        <v>514</v>
      </c>
      <c r="B53" s="1" t="s">
        <v>440</v>
      </c>
      <c r="C53" s="1" t="s">
        <v>69</v>
      </c>
      <c r="D53" s="50" t="s">
        <v>69</v>
      </c>
    </row>
    <row r="54" spans="1:4" ht="15" thickBot="1" x14ac:dyDescent="0.35">
      <c r="A54" s="52" t="s">
        <v>514</v>
      </c>
      <c r="B54" s="53" t="s">
        <v>443</v>
      </c>
      <c r="C54" s="53" t="s">
        <v>69</v>
      </c>
      <c r="D54" s="54" t="s">
        <v>488</v>
      </c>
    </row>
    <row r="55" spans="1:4" ht="15" thickBot="1" x14ac:dyDescent="0.35">
      <c r="A55" s="1"/>
      <c r="B55" s="1"/>
      <c r="C55" s="1"/>
      <c r="D55" s="1"/>
    </row>
    <row r="56" spans="1:4" x14ac:dyDescent="0.3">
      <c r="A56" s="45" t="s">
        <v>514</v>
      </c>
      <c r="B56" s="46" t="s">
        <v>505</v>
      </c>
      <c r="C56" s="47" t="s">
        <v>488</v>
      </c>
      <c r="D56" s="55" t="s">
        <v>84</v>
      </c>
    </row>
    <row r="57" spans="1:4" x14ac:dyDescent="0.3">
      <c r="A57" s="49" t="s">
        <v>514</v>
      </c>
      <c r="B57" s="1" t="s">
        <v>506</v>
      </c>
      <c r="C57" s="1" t="s">
        <v>84</v>
      </c>
      <c r="D57" s="50" t="s">
        <v>86</v>
      </c>
    </row>
    <row r="58" spans="1:4" ht="15" thickBot="1" x14ac:dyDescent="0.35">
      <c r="A58" s="52" t="s">
        <v>514</v>
      </c>
      <c r="B58" s="53" t="s">
        <v>496</v>
      </c>
      <c r="C58" s="53" t="s">
        <v>86</v>
      </c>
      <c r="D58" s="54" t="s">
        <v>488</v>
      </c>
    </row>
    <row r="59" spans="1:4" ht="15" thickBot="1" x14ac:dyDescent="0.35">
      <c r="A59" s="1"/>
      <c r="B59" s="1"/>
      <c r="C59" s="1"/>
      <c r="D59" s="1"/>
    </row>
    <row r="60" spans="1:4" x14ac:dyDescent="0.3">
      <c r="A60" s="45" t="s">
        <v>469</v>
      </c>
      <c r="B60" s="46" t="s">
        <v>510</v>
      </c>
      <c r="C60" s="47" t="s">
        <v>488</v>
      </c>
      <c r="D60" s="55" t="s">
        <v>84</v>
      </c>
    </row>
    <row r="61" spans="1:4" ht="15" thickBot="1" x14ac:dyDescent="0.35">
      <c r="A61" s="52" t="s">
        <v>516</v>
      </c>
      <c r="B61" s="53" t="s">
        <v>509</v>
      </c>
      <c r="C61" s="53" t="s">
        <v>84</v>
      </c>
      <c r="D61" s="54" t="s">
        <v>488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18B8A-7A56-4FF0-8EDF-5F85A47EC8AF}">
  <dimension ref="A1:D27"/>
  <sheetViews>
    <sheetView tabSelected="1" workbookViewId="0">
      <selection activeCell="K14" sqref="K14"/>
    </sheetView>
  </sheetViews>
  <sheetFormatPr defaultRowHeight="14.4" x14ac:dyDescent="0.3"/>
  <cols>
    <col min="1" max="1" width="13.5546875" bestFit="1" customWidth="1"/>
    <col min="2" max="2" width="7" bestFit="1" customWidth="1"/>
    <col min="3" max="3" width="16" bestFit="1" customWidth="1"/>
    <col min="4" max="4" width="15.109375" bestFit="1" customWidth="1"/>
  </cols>
  <sheetData>
    <row r="1" spans="1:4" ht="15" thickBot="1" x14ac:dyDescent="0.35">
      <c r="A1" s="1" t="s">
        <v>481</v>
      </c>
      <c r="B1" s="1" t="s">
        <v>482</v>
      </c>
      <c r="C1" s="1" t="s">
        <v>484</v>
      </c>
      <c r="D1" s="1" t="s">
        <v>486</v>
      </c>
    </row>
    <row r="2" spans="1:4" x14ac:dyDescent="0.3">
      <c r="A2" s="45" t="s">
        <v>511</v>
      </c>
      <c r="B2" s="46" t="s">
        <v>517</v>
      </c>
      <c r="C2" s="47" t="s">
        <v>488</v>
      </c>
      <c r="D2" s="55" t="s">
        <v>45</v>
      </c>
    </row>
    <row r="3" spans="1:4" x14ac:dyDescent="0.3">
      <c r="A3" s="49" t="s">
        <v>467</v>
      </c>
      <c r="B3" s="1" t="s">
        <v>154</v>
      </c>
      <c r="C3" s="1" t="s">
        <v>45</v>
      </c>
      <c r="D3" s="50" t="s">
        <v>47</v>
      </c>
    </row>
    <row r="4" spans="1:4" x14ac:dyDescent="0.3">
      <c r="A4" s="49" t="s">
        <v>512</v>
      </c>
      <c r="B4" s="1" t="s">
        <v>212</v>
      </c>
      <c r="C4" s="1" t="s">
        <v>47</v>
      </c>
      <c r="D4" s="50" t="s">
        <v>41</v>
      </c>
    </row>
    <row r="5" spans="1:4" x14ac:dyDescent="0.3">
      <c r="A5" s="49" t="s">
        <v>512</v>
      </c>
      <c r="B5" s="1" t="s">
        <v>234</v>
      </c>
      <c r="C5" s="1" t="s">
        <v>41</v>
      </c>
      <c r="D5" s="50" t="s">
        <v>43</v>
      </c>
    </row>
    <row r="6" spans="1:4" ht="15" thickBot="1" x14ac:dyDescent="0.35">
      <c r="A6" s="52" t="s">
        <v>512</v>
      </c>
      <c r="B6" s="53" t="s">
        <v>252</v>
      </c>
      <c r="C6" s="53" t="s">
        <v>43</v>
      </c>
      <c r="D6" s="54" t="s">
        <v>488</v>
      </c>
    </row>
    <row r="7" spans="1:4" ht="15" thickBot="1" x14ac:dyDescent="0.35">
      <c r="A7" s="1"/>
      <c r="B7" s="1"/>
      <c r="C7" s="1"/>
      <c r="D7" s="1"/>
    </row>
    <row r="8" spans="1:4" x14ac:dyDescent="0.3">
      <c r="A8" s="45" t="s">
        <v>512</v>
      </c>
      <c r="B8" s="46" t="s">
        <v>267</v>
      </c>
      <c r="C8" s="47" t="s">
        <v>488</v>
      </c>
      <c r="D8" s="55" t="s">
        <v>70</v>
      </c>
    </row>
    <row r="9" spans="1:4" x14ac:dyDescent="0.3">
      <c r="A9" s="49" t="s">
        <v>468</v>
      </c>
      <c r="B9" s="1" t="s">
        <v>268</v>
      </c>
      <c r="C9" s="1" t="s">
        <v>70</v>
      </c>
      <c r="D9" s="50" t="s">
        <v>70</v>
      </c>
    </row>
    <row r="10" spans="1:4" x14ac:dyDescent="0.3">
      <c r="A10" s="49" t="s">
        <v>513</v>
      </c>
      <c r="B10" s="1" t="s">
        <v>276</v>
      </c>
      <c r="C10" s="1" t="s">
        <v>70</v>
      </c>
      <c r="D10" s="50" t="s">
        <v>42</v>
      </c>
    </row>
    <row r="11" spans="1:4" x14ac:dyDescent="0.3">
      <c r="A11" s="49" t="s">
        <v>513</v>
      </c>
      <c r="B11" s="1" t="s">
        <v>299</v>
      </c>
      <c r="C11" s="1" t="s">
        <v>42</v>
      </c>
      <c r="D11" s="50" t="s">
        <v>71</v>
      </c>
    </row>
    <row r="12" spans="1:4" x14ac:dyDescent="0.3">
      <c r="A12" s="49" t="s">
        <v>513</v>
      </c>
      <c r="B12" s="1" t="s">
        <v>304</v>
      </c>
      <c r="C12" s="1" t="s">
        <v>71</v>
      </c>
      <c r="D12" s="50" t="s">
        <v>71</v>
      </c>
    </row>
    <row r="13" spans="1:4" x14ac:dyDescent="0.3">
      <c r="A13" s="49" t="s">
        <v>513</v>
      </c>
      <c r="B13" s="1" t="s">
        <v>307</v>
      </c>
      <c r="C13" s="1" t="s">
        <v>71</v>
      </c>
      <c r="D13" s="50" t="s">
        <v>71</v>
      </c>
    </row>
    <row r="14" spans="1:4" x14ac:dyDescent="0.3">
      <c r="A14" s="49" t="s">
        <v>513</v>
      </c>
      <c r="B14" s="1" t="s">
        <v>310</v>
      </c>
      <c r="C14" s="1" t="s">
        <v>71</v>
      </c>
      <c r="D14" s="50" t="s">
        <v>68</v>
      </c>
    </row>
    <row r="15" spans="1:4" x14ac:dyDescent="0.3">
      <c r="A15" s="49" t="s">
        <v>513</v>
      </c>
      <c r="B15" s="33" t="s">
        <v>315</v>
      </c>
      <c r="C15" s="1" t="s">
        <v>68</v>
      </c>
      <c r="D15" s="50" t="s">
        <v>68</v>
      </c>
    </row>
    <row r="16" spans="1:4" x14ac:dyDescent="0.3">
      <c r="A16" s="49" t="s">
        <v>513</v>
      </c>
      <c r="B16" s="1" t="s">
        <v>126</v>
      </c>
      <c r="C16" s="1" t="s">
        <v>68</v>
      </c>
      <c r="D16" s="50" t="s">
        <v>83</v>
      </c>
    </row>
    <row r="17" spans="1:4" x14ac:dyDescent="0.3">
      <c r="A17" s="49" t="s">
        <v>513</v>
      </c>
      <c r="B17" s="1" t="s">
        <v>117</v>
      </c>
      <c r="C17" s="1" t="s">
        <v>83</v>
      </c>
      <c r="D17" s="50" t="s">
        <v>83</v>
      </c>
    </row>
    <row r="18" spans="1:4" x14ac:dyDescent="0.3">
      <c r="A18" s="49" t="s">
        <v>513</v>
      </c>
      <c r="B18" s="1" t="s">
        <v>118</v>
      </c>
      <c r="C18" s="1" t="s">
        <v>83</v>
      </c>
      <c r="D18" s="50" t="s">
        <v>68</v>
      </c>
    </row>
    <row r="19" spans="1:4" x14ac:dyDescent="0.3">
      <c r="A19" s="49" t="s">
        <v>513</v>
      </c>
      <c r="B19" s="33" t="s">
        <v>405</v>
      </c>
      <c r="C19" s="1" t="s">
        <v>68</v>
      </c>
      <c r="D19" s="50" t="s">
        <v>68</v>
      </c>
    </row>
    <row r="20" spans="1:4" ht="15" thickBot="1" x14ac:dyDescent="0.35">
      <c r="A20" s="52" t="s">
        <v>412</v>
      </c>
      <c r="B20" s="53" t="s">
        <v>123</v>
      </c>
      <c r="C20" s="53" t="s">
        <v>68</v>
      </c>
      <c r="D20" s="54" t="s">
        <v>488</v>
      </c>
    </row>
    <row r="21" spans="1:4" ht="15" thickBot="1" x14ac:dyDescent="0.35">
      <c r="A21" s="1"/>
      <c r="B21" s="1"/>
      <c r="C21" s="1"/>
      <c r="D21" s="1"/>
    </row>
    <row r="22" spans="1:4" x14ac:dyDescent="0.3">
      <c r="A22" s="45" t="s">
        <v>514</v>
      </c>
      <c r="B22" s="46" t="s">
        <v>416</v>
      </c>
      <c r="C22" s="47" t="s">
        <v>488</v>
      </c>
      <c r="D22" s="55" t="s">
        <v>71</v>
      </c>
    </row>
    <row r="23" spans="1:4" x14ac:dyDescent="0.3">
      <c r="A23" s="49" t="s">
        <v>514</v>
      </c>
      <c r="B23" s="1" t="s">
        <v>518</v>
      </c>
      <c r="C23" s="1" t="s">
        <v>71</v>
      </c>
      <c r="D23" s="50" t="s">
        <v>51</v>
      </c>
    </row>
    <row r="24" spans="1:4" x14ac:dyDescent="0.3">
      <c r="A24" s="49" t="s">
        <v>514</v>
      </c>
      <c r="B24" s="1" t="s">
        <v>449</v>
      </c>
      <c r="C24" s="1" t="s">
        <v>51</v>
      </c>
      <c r="D24" s="50" t="s">
        <v>51</v>
      </c>
    </row>
    <row r="25" spans="1:4" x14ac:dyDescent="0.3">
      <c r="A25" s="49" t="s">
        <v>514</v>
      </c>
      <c r="B25" s="33" t="s">
        <v>452</v>
      </c>
      <c r="C25" s="1" t="s">
        <v>51</v>
      </c>
      <c r="D25" s="59" t="s">
        <v>462</v>
      </c>
    </row>
    <row r="26" spans="1:4" x14ac:dyDescent="0.3">
      <c r="A26" s="49" t="s">
        <v>514</v>
      </c>
      <c r="B26" s="1" t="s">
        <v>431</v>
      </c>
      <c r="C26" s="60" t="s">
        <v>462</v>
      </c>
      <c r="D26" s="50" t="s">
        <v>86</v>
      </c>
    </row>
    <row r="27" spans="1:4" ht="15" thickBot="1" x14ac:dyDescent="0.35">
      <c r="A27" s="52" t="s">
        <v>514</v>
      </c>
      <c r="B27" s="53" t="s">
        <v>459</v>
      </c>
      <c r="C27" s="53" t="s">
        <v>86</v>
      </c>
      <c r="D27" s="54" t="s">
        <v>488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47AA272-0A02-407D-9D23-81232134B5D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Genel Özet</vt:lpstr>
      <vt:lpstr>FO GELEN</vt:lpstr>
      <vt:lpstr>FO SERİM</vt:lpstr>
      <vt:lpstr>Hat 1 - 288 EK</vt:lpstr>
      <vt:lpstr>Hat 2 - 288 EK</vt:lpstr>
      <vt:lpstr>Hat 1 - 24 EK</vt:lpstr>
      <vt:lpstr>Hat 2 - 24 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Furkan IBIS</dc:creator>
  <cp:lastModifiedBy>Furkan IBIS</cp:lastModifiedBy>
  <dcterms:created xsi:type="dcterms:W3CDTF">2015-06-05T18:19:34Z</dcterms:created>
  <dcterms:modified xsi:type="dcterms:W3CDTF">2025-11-21T07:34:19Z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f8ea6fd-ecf8-40a0-9960-a6e4f34bd79a_Enabled">
    <vt:lpwstr>true</vt:lpwstr>
  </property>
  <property fmtid="{D5CDD505-2E9C-101B-9397-08002B2CF9AE}" pid="3" name="MSIP_Label_2f8ea6fd-ecf8-40a0-9960-a6e4f34bd79a_SetDate">
    <vt:lpwstr>2025-11-06T07:56:17Z</vt:lpwstr>
  </property>
  <property fmtid="{D5CDD505-2E9C-101B-9397-08002B2CF9AE}" pid="4" name="MSIP_Label_2f8ea6fd-ecf8-40a0-9960-a6e4f34bd79a_Method">
    <vt:lpwstr>Privileged</vt:lpwstr>
  </property>
  <property fmtid="{D5CDD505-2E9C-101B-9397-08002B2CF9AE}" pid="5" name="MSIP_Label_2f8ea6fd-ecf8-40a0-9960-a6e4f34bd79a_Name">
    <vt:lpwstr>Çok Gizli (Top Secret)</vt:lpwstr>
  </property>
  <property fmtid="{D5CDD505-2E9C-101B-9397-08002B2CF9AE}" pid="6" name="MSIP_Label_2f8ea6fd-ecf8-40a0-9960-a6e4f34bd79a_SiteId">
    <vt:lpwstr>acbfa263-309d-4a52-b05d-64dc66c01131</vt:lpwstr>
  </property>
  <property fmtid="{D5CDD505-2E9C-101B-9397-08002B2CF9AE}" pid="7" name="MSIP_Label_2f8ea6fd-ecf8-40a0-9960-a6e4f34bd79a_ActionId">
    <vt:lpwstr>45380a31-1893-44f0-a6a5-2212ab9a0671</vt:lpwstr>
  </property>
  <property fmtid="{D5CDD505-2E9C-101B-9397-08002B2CF9AE}" pid="8" name="MSIP_Label_2f8ea6fd-ecf8-40a0-9960-a6e4f34bd79a_ContentBits">
    <vt:lpwstr>3</vt:lpwstr>
  </property>
  <property fmtid="{D5CDD505-2E9C-101B-9397-08002B2CF9AE}" pid="9" name="MSIP_Label_2f8ea6fd-ecf8-40a0-9960-a6e4f34bd79a_Tag">
    <vt:lpwstr>10, 0, 1, 1</vt:lpwstr>
  </property>
</Properties>
</file>